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axin45\Documents\Škola\Vysoká\Energetika\2.semestr\PRO2\model\"/>
    </mc:Choice>
  </mc:AlternateContent>
  <xr:revisionPtr revIDLastSave="0" documentId="13_ncr:1_{4AD742C3-99D3-4EF0-9014-FF4D594E9F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" i="1" l="1"/>
  <c r="AJ1" i="1"/>
</calcChain>
</file>

<file path=xl/sharedStrings.xml><?xml version="1.0" encoding="utf-8"?>
<sst xmlns="http://schemas.openxmlformats.org/spreadsheetml/2006/main" count="1111" uniqueCount="824">
  <si>
    <t>Short name</t>
  </si>
  <si>
    <t>New in Version 10</t>
  </si>
  <si>
    <t>Full name</t>
  </si>
  <si>
    <t>Synonym</t>
  </si>
  <si>
    <t>Fluid file</t>
  </si>
  <si>
    <t>Chemical Formula</t>
  </si>
  <si>
    <t>Short Formula</t>
  </si>
  <si>
    <t>Molar Mass (g/mol)</t>
  </si>
  <si>
    <t>Boiling point temperature (K)</t>
  </si>
  <si>
    <t>Triple point temperature (K)</t>
  </si>
  <si>
    <t>Critical temperature (K)</t>
  </si>
  <si>
    <t>Critical pressure (MPa)</t>
  </si>
  <si>
    <r>
      <t>Critical density (mol/dm^3</t>
    </r>
    <r>
      <rPr>
        <sz val="10"/>
        <rFont val="Arial"/>
        <family val="2"/>
      </rPr>
      <t>)</t>
    </r>
  </si>
  <si>
    <t>Dipole moment</t>
  </si>
  <si>
    <t>Acentric factor</t>
  </si>
  <si>
    <t>Heating value (J/mol)</t>
  </si>
  <si>
    <t>Heat of Formation (J/mol)</t>
  </si>
  <si>
    <t>Family</t>
  </si>
  <si>
    <t>Lower temperature limit (K)</t>
  </si>
  <si>
    <t>Upper temperature limit (K)</t>
  </si>
  <si>
    <t>Upper pressure limit (MPa)</t>
  </si>
  <si>
    <t>CAS number</t>
  </si>
  <si>
    <t>Hash</t>
  </si>
  <si>
    <t>Reference state</t>
  </si>
  <si>
    <t>UN number</t>
  </si>
  <si>
    <t>GWP</t>
  </si>
  <si>
    <t>ODP</t>
  </si>
  <si>
    <t>ASHRAE 34 Safety Classification</t>
  </si>
  <si>
    <t>Standard InChI Key</t>
  </si>
  <si>
    <t>Standard InChI String</t>
  </si>
  <si>
    <t>1,3-Butadiene</t>
  </si>
  <si>
    <t>ü</t>
  </si>
  <si>
    <t>Buta-1,3-diene</t>
  </si>
  <si>
    <t>Vinylethylene</t>
  </si>
  <si>
    <t>13BUTADIENE.FLD</t>
  </si>
  <si>
    <t>CH2=(CH)2=CH2</t>
  </si>
  <si>
    <t>C4H6</t>
  </si>
  <si>
    <t>n-alkene</t>
  </si>
  <si>
    <t>106-99-0</t>
  </si>
  <si>
    <t>cd07ca00</t>
  </si>
  <si>
    <t>NBP</t>
  </si>
  <si>
    <t>1010</t>
  </si>
  <si>
    <t>KAKZBPTYRLMSJV-UHFFFAOYSA-N</t>
  </si>
  <si>
    <t>1S/C4H6/c1-3-4-2/h3-4H,1-2H2</t>
  </si>
  <si>
    <t>1-Butyne</t>
  </si>
  <si>
    <t>But-1-yne</t>
  </si>
  <si>
    <t>Ethylacetylene</t>
  </si>
  <si>
    <t>1BUTYNE.FLD</t>
  </si>
  <si>
    <t>alkyne</t>
  </si>
  <si>
    <t>107-00-6</t>
  </si>
  <si>
    <t>4bfbe360</t>
  </si>
  <si>
    <t>2452</t>
  </si>
  <si>
    <t>KDKYADYSIPSCCQ-UHFFFAOYSA-N</t>
  </si>
  <si>
    <t>1S/C4H6/c1-3-4-2/h1H,4H2,2H3</t>
  </si>
  <si>
    <t>1-Pentene</t>
  </si>
  <si>
    <t>Pent-1-ene</t>
  </si>
  <si>
    <t>Propylethylene</t>
  </si>
  <si>
    <t>1PENTENE.FLD</t>
  </si>
  <si>
    <t>C5H10</t>
  </si>
  <si>
    <t>109-67-1</t>
  </si>
  <si>
    <t>1f061ca0</t>
  </si>
  <si>
    <t>1108</t>
  </si>
  <si>
    <t>YWAKXRMUMFPDSH-UHFFFAOYSA-N</t>
  </si>
  <si>
    <t>1S/C5H10/c1-3-5-4-2/h3H,1,4-5H2,2H3</t>
  </si>
  <si>
    <t>2,2-Dimethylbutane</t>
  </si>
  <si>
    <t>Neohexane</t>
  </si>
  <si>
    <t>22DIMETHYLBUTANE.FLD</t>
  </si>
  <si>
    <t>(CH3)3CCH2CH3</t>
  </si>
  <si>
    <t>C6H14</t>
  </si>
  <si>
    <t>br-alkane</t>
  </si>
  <si>
    <t>75-83-2</t>
  </si>
  <si>
    <t>c9396950</t>
  </si>
  <si>
    <t>1208, 2457</t>
  </si>
  <si>
    <t>HNRMPXKDFBEGFZ-UHFFFAOYSA-N</t>
  </si>
  <si>
    <t>1S/C6H14/c1-5-6(2,3)4/h5H2,1-4H3</t>
  </si>
  <si>
    <t>2,3-Dimethylbutane</t>
  </si>
  <si>
    <t>Butane, 2,3-dimethyl-</t>
  </si>
  <si>
    <t>23DIMETHYLBUTANE.FLD</t>
  </si>
  <si>
    <t>(CH3)2CHCH(CH3)2</t>
  </si>
  <si>
    <t>79-29-8</t>
  </si>
  <si>
    <t>bca9ff20</t>
  </si>
  <si>
    <t>ZFFMLCVRJBZUDZ-UHFFFAOYSA-N</t>
  </si>
  <si>
    <t>1S/C6H14/c1-5(2)6(3)4/h5-6H,1-4H3</t>
  </si>
  <si>
    <t>3-Methylpentane</t>
  </si>
  <si>
    <t>Pentane, 3-methyl-</t>
  </si>
  <si>
    <t>3METHYLPENTANE.FLD</t>
  </si>
  <si>
    <t>(CH3CH2)2CHCH3</t>
  </si>
  <si>
    <t>96-14-0</t>
  </si>
  <si>
    <t>5bd6f470</t>
  </si>
  <si>
    <t>PFEOZHBOMNWTJB-UHFFFAOYSA-N</t>
  </si>
  <si>
    <t>1S/C6H14/c1-4-6(3)5-2/h6H,4-5H2,1-3H3</t>
  </si>
  <si>
    <t>Acetone</t>
  </si>
  <si>
    <t>Propanone</t>
  </si>
  <si>
    <t>Dimethyl ketone</t>
  </si>
  <si>
    <t>acetone.FLD</t>
  </si>
  <si>
    <t>(CH3)2CO</t>
  </si>
  <si>
    <t>C3H6O</t>
  </si>
  <si>
    <t>other</t>
  </si>
  <si>
    <t>67-64-1</t>
  </si>
  <si>
    <t>342481e0</t>
  </si>
  <si>
    <t>1090</t>
  </si>
  <si>
    <t>CSCPPACGZOOCGX-UHFFFAOYSA-N</t>
  </si>
  <si>
    <t>1S/C3H6O/c1-3(2)4/h1-2H3</t>
  </si>
  <si>
    <t>IIR</t>
  </si>
  <si>
    <t>OTH</t>
  </si>
  <si>
    <t>A1</t>
  </si>
  <si>
    <t>Benzene</t>
  </si>
  <si>
    <t>benzene.FLD</t>
  </si>
  <si>
    <t>C6H6</t>
  </si>
  <si>
    <t>aromatic</t>
  </si>
  <si>
    <t>71-43-2</t>
  </si>
  <si>
    <t>f2cfb460</t>
  </si>
  <si>
    <t>1114</t>
  </si>
  <si>
    <t>UHOVQNZJYSORNB-UHFFFAOYSA-N</t>
  </si>
  <si>
    <t>1S/C6H6/c1-2-4-6-5-3-1/h1-6H</t>
  </si>
  <si>
    <t>Butane</t>
  </si>
  <si>
    <t>n-Butane</t>
  </si>
  <si>
    <t>R-600</t>
  </si>
  <si>
    <t>butane.FLD</t>
  </si>
  <si>
    <t>CH3-2(CH2)-CH3</t>
  </si>
  <si>
    <t>C4H10</t>
  </si>
  <si>
    <t>n-alkane</t>
  </si>
  <si>
    <t>106-97-8</t>
  </si>
  <si>
    <t>7b3b4080</t>
  </si>
  <si>
    <t>1011</t>
  </si>
  <si>
    <t>A3</t>
  </si>
  <si>
    <t>IJDNQMDRQITEOD-UHFFFAOYSA-N</t>
  </si>
  <si>
    <t>1S/C4H10/c1-3-4-2/h3-4H2,1-2H3</t>
  </si>
  <si>
    <t>Butene</t>
  </si>
  <si>
    <t>1-Butene</t>
  </si>
  <si>
    <t>1-Butylene</t>
  </si>
  <si>
    <t>1BUTENE.FLD</t>
  </si>
  <si>
    <t>CH3-CH2-CH=CH2</t>
  </si>
  <si>
    <t>C4H8</t>
  </si>
  <si>
    <t>106-98-9</t>
  </si>
  <si>
    <t>cd7a06d0</t>
  </si>
  <si>
    <t>1012</t>
  </si>
  <si>
    <t>VXNZUUAINFGPBY-UHFFFAOYSA-N</t>
  </si>
  <si>
    <t>1S/C4H8/c1-3-4-2/h3H,1,4H2,2H3</t>
  </si>
  <si>
    <t>Chlorobenzene</t>
  </si>
  <si>
    <t>Phenyl chloride</t>
  </si>
  <si>
    <t>chlorobenzene.FLD</t>
  </si>
  <si>
    <t>C6H5Cl</t>
  </si>
  <si>
    <t>halocb</t>
  </si>
  <si>
    <t>108-90-7</t>
  </si>
  <si>
    <t>2366d210</t>
  </si>
  <si>
    <t>1134</t>
  </si>
  <si>
    <t>MVPPADPHJFYWMZ-UHFFFAOYSA-N</t>
  </si>
  <si>
    <t>1S/C6H5Cl/c7-6-4-2-1-3-5-6/h1-5H</t>
  </si>
  <si>
    <t>cis-Butene</t>
  </si>
  <si>
    <t>cis-2-Butene</t>
  </si>
  <si>
    <t>(Z)-2-Butene</t>
  </si>
  <si>
    <t>C2BUTENE.FLD</t>
  </si>
  <si>
    <t>CH3-CH=CH-CH3</t>
  </si>
  <si>
    <t>590-18-1</t>
  </si>
  <si>
    <t>411c4500</t>
  </si>
  <si>
    <t>IAQRGUVFOMOMEM-ARJAWSKDSA-N</t>
  </si>
  <si>
    <t>1S/C4H8/c1-3-4-2/h3-4H,1-2H3/b4-3-</t>
  </si>
  <si>
    <t>Cyclobutene</t>
  </si>
  <si>
    <t>1-Cyclobutene</t>
  </si>
  <si>
    <t>Cyclobutan-1,2-diyl</t>
  </si>
  <si>
    <t>cyclobutene.FLD</t>
  </si>
  <si>
    <t>822-35-5</t>
  </si>
  <si>
    <t>0b1a5d30</t>
  </si>
  <si>
    <t>CFBGXYDUODCMNS-UHFFFAOYSA-N</t>
  </si>
  <si>
    <t>1S/C4H6/c1-2-4-3-1/h1-2H,3-4H2</t>
  </si>
  <si>
    <t>Cyclohexane</t>
  </si>
  <si>
    <t>CYCLOHEX.FLD</t>
  </si>
  <si>
    <t>cyclo-C6H12</t>
  </si>
  <si>
    <t>C6H12</t>
  </si>
  <si>
    <t>naphthene</t>
  </si>
  <si>
    <t>110-82-7</t>
  </si>
  <si>
    <t>6e225350</t>
  </si>
  <si>
    <t>1145</t>
  </si>
  <si>
    <t>XDTMQSROBMDMFD-UHFFFAOYSA-N</t>
  </si>
  <si>
    <t>1S/C6H12/c1-2-4-6-5-3-1/h1-6H2</t>
  </si>
  <si>
    <t>Cyclopentane</t>
  </si>
  <si>
    <t>CYCLOPEN.FLD</t>
  </si>
  <si>
    <t>287-92-3</t>
  </si>
  <si>
    <t>43ab1810</t>
  </si>
  <si>
    <t>1146</t>
  </si>
  <si>
    <t>RGSFGYAAUTVSQA-UHFFFAOYSA-N</t>
  </si>
  <si>
    <t>1S/C5H10/c1-2-4-5-3-1/h1-5H2</t>
  </si>
  <si>
    <t>D4</t>
  </si>
  <si>
    <t>Octamethylcyclotetrasiloxane</t>
  </si>
  <si>
    <t>D4.FLD</t>
  </si>
  <si>
    <t>C8H24O4Si4</t>
  </si>
  <si>
    <t>siloxane</t>
  </si>
  <si>
    <t>556-67-2</t>
  </si>
  <si>
    <t>b6895470</t>
  </si>
  <si>
    <t>HMMGMWAXVFQUOA-UHFFFAOYSA-N</t>
  </si>
  <si>
    <t>1S/C8H24O4Si4/c1-13(2)9-14(3,4)11-16(7,8)12-15(5,6)10-13/h1-8H3</t>
  </si>
  <si>
    <t>D5</t>
  </si>
  <si>
    <t>Decamethylcyclopentasiloxane</t>
  </si>
  <si>
    <t>D5.FLD</t>
  </si>
  <si>
    <t>C10H30O5Si5</t>
  </si>
  <si>
    <t>541-02-6</t>
  </si>
  <si>
    <t>ccbc27e0</t>
  </si>
  <si>
    <t>XMSXQFUHVRWGNA-UHFFFAOYSA-N</t>
  </si>
  <si>
    <t>1S/C10H30O5Si5/c1-16(2)11-17(3,4)13-19(7,8)15-20(9,10)14-18(5,6)12-16/h1-10H3</t>
  </si>
  <si>
    <t>D6</t>
  </si>
  <si>
    <t>Dodecamethylcyclohexasiloxane</t>
  </si>
  <si>
    <t>D6.FLD</t>
  </si>
  <si>
    <t>C12H36Si6O6</t>
  </si>
  <si>
    <t>540-97-6</t>
  </si>
  <si>
    <t>1fad29d0</t>
  </si>
  <si>
    <t>IUMSDRXLFWAGNT-UHFFFAOYSA-N</t>
  </si>
  <si>
    <t>1S/C12H36O6Si6/c1-19(2)13-20(3,4)15-22(7,8)17-24(11,12)18-23(9,10)16-21(5,6)14-19/h1-12H3</t>
  </si>
  <si>
    <t>DEA</t>
  </si>
  <si>
    <t>2,2'-Iminodiethanol</t>
  </si>
  <si>
    <t>bis(2-hydroxyethyl)Amine</t>
  </si>
  <si>
    <t>DEA.FLD</t>
  </si>
  <si>
    <t>HN(CH2CH2OH)2</t>
  </si>
  <si>
    <t>C4H11NO2</t>
  </si>
  <si>
    <t>111-42-2</t>
  </si>
  <si>
    <t>393cd060</t>
  </si>
  <si>
    <t>3082</t>
  </si>
  <si>
    <t>ZBCBWPMODOFKDW-UHFFFAOYSA-N</t>
  </si>
  <si>
    <t>1S/C4H11NO2/c6-3-1-5-2-4-7/h5-7H,1-4H2</t>
  </si>
  <si>
    <t>Decane</t>
  </si>
  <si>
    <t>n-Decane</t>
  </si>
  <si>
    <t>decane.FLD</t>
  </si>
  <si>
    <t>CH3-8(CH2)-CH3</t>
  </si>
  <si>
    <t>C10H22</t>
  </si>
  <si>
    <t>124-18-5</t>
  </si>
  <si>
    <t>111888d0</t>
  </si>
  <si>
    <t>2247</t>
  </si>
  <si>
    <t>DIOQZVSQGTUSAI-UHFFFAOYSA-N</t>
  </si>
  <si>
    <t>1S/C10H22/c1-3-5-7-9-10-8-6-4-2/h3-10H2,1-2H3</t>
  </si>
  <si>
    <t>Dichloroethane</t>
  </si>
  <si>
    <t>1,2-Dichloroethane</t>
  </si>
  <si>
    <t>R-150</t>
  </si>
  <si>
    <t>R150.FLD</t>
  </si>
  <si>
    <t>C2H4Cl2</t>
  </si>
  <si>
    <t>107-06-2</t>
  </si>
  <si>
    <t>042f81b0</t>
  </si>
  <si>
    <t>1184</t>
  </si>
  <si>
    <t>WSLDOOZREJYCGB-UHFFFAOYSA-N</t>
  </si>
  <si>
    <t>1S/C2H4Cl2/c3-1-2-4/h1-2H2</t>
  </si>
  <si>
    <t>Diethyl ether</t>
  </si>
  <si>
    <t>Ethyl ether</t>
  </si>
  <si>
    <t>DEE.FLD</t>
  </si>
  <si>
    <t>C4H10O</t>
  </si>
  <si>
    <t>ether</t>
  </si>
  <si>
    <t>60-29-7</t>
  </si>
  <si>
    <t>46a701e0</t>
  </si>
  <si>
    <t>1155</t>
  </si>
  <si>
    <t>RTZKZFJDLAIYFH-UHFFFAOYSA-N</t>
  </si>
  <si>
    <t>1S/C4H10O/c1-3-5-4-2/h3-4H2,1-2H3</t>
  </si>
  <si>
    <t>Dimethyl carbonate</t>
  </si>
  <si>
    <t>Dimethyl ester carbonic acid</t>
  </si>
  <si>
    <t>DMC</t>
  </si>
  <si>
    <t>DMC.FLD</t>
  </si>
  <si>
    <t>C3H6O3</t>
  </si>
  <si>
    <t>616-38-6</t>
  </si>
  <si>
    <t>859e6f80</t>
  </si>
  <si>
    <t>1161</t>
  </si>
  <si>
    <t>IEJIGPNLZYLLBP-UHFFFAOYSA-N</t>
  </si>
  <si>
    <t>1S/C3H6O3/c1-5-3(4)6-2/h1-2H3</t>
  </si>
  <si>
    <t>C2H6O</t>
  </si>
  <si>
    <t>Docosane</t>
  </si>
  <si>
    <t>n-Docosane</t>
  </si>
  <si>
    <t>C22.FLD</t>
  </si>
  <si>
    <t>C22H46</t>
  </si>
  <si>
    <t>629-97-0</t>
  </si>
  <si>
    <t>508eb840</t>
  </si>
  <si>
    <t>HOWGUJZVBDQJKV-UHFFFAOYSA-N</t>
  </si>
  <si>
    <t>1S/C22H46/c1-3-5-7-9-11-13-15-17-19-21-22-20-18-16-14-12-10-8-6-4-2/h3-22H2,1-2H3</t>
  </si>
  <si>
    <t>Dodecane</t>
  </si>
  <si>
    <t>n-Dodecane</t>
  </si>
  <si>
    <t>C12.FLD</t>
  </si>
  <si>
    <t>CH3-10(CH2)-CH3</t>
  </si>
  <si>
    <t>C12H26</t>
  </si>
  <si>
    <t>112-40-3</t>
  </si>
  <si>
    <t>8bc8dec0</t>
  </si>
  <si>
    <t>SNRUBQQJIBEYMU-UHFFFAOYSA-N</t>
  </si>
  <si>
    <t>1S/C12H26/c1-3-5-7-9-11-12-10-8-6-4-2/h3-12H2,1-2H3</t>
  </si>
  <si>
    <t>Ethanol</t>
  </si>
  <si>
    <t>Ethyl alcohol</t>
  </si>
  <si>
    <t>Methyl carbinol</t>
  </si>
  <si>
    <t>ethanol.FLD</t>
  </si>
  <si>
    <t>alcohol</t>
  </si>
  <si>
    <t>64-17-5</t>
  </si>
  <si>
    <t>3d5f67e0</t>
  </si>
  <si>
    <t>1170</t>
  </si>
  <si>
    <t>LFQSCWFLJHTTHZ-UHFFFAOYSA-N</t>
  </si>
  <si>
    <t>1S/C2H6O/c1-2-3/h3H,2H2,1H3</t>
  </si>
  <si>
    <t>Ethylene glycol</t>
  </si>
  <si>
    <t>1,2-Ethandiol</t>
  </si>
  <si>
    <t>Glycol alcohol</t>
  </si>
  <si>
    <t>EGLYCOL.FLD</t>
  </si>
  <si>
    <t>OH(CH2CH2)OH</t>
  </si>
  <si>
    <t>C2H6O2</t>
  </si>
  <si>
    <t>107-21-1</t>
  </si>
  <si>
    <t>7d1768e0</t>
  </si>
  <si>
    <t>LYCAIKOWRPUZTN-UHFFFAOYSA-N</t>
  </si>
  <si>
    <t>1S/C2H6O2/c3-1-2-4/h3-4H,1-2H2</t>
  </si>
  <si>
    <t>Ethylbenzene</t>
  </si>
  <si>
    <t>Phenylethane</t>
  </si>
  <si>
    <t>Benzene, ethyl-</t>
  </si>
  <si>
    <t>EBENZENE.FLD</t>
  </si>
  <si>
    <t>C8H10</t>
  </si>
  <si>
    <t>100-41-4</t>
  </si>
  <si>
    <t>a4c64370</t>
  </si>
  <si>
    <t>YNQLUTRBYVCPMQ-UHFFFAOYSA-N</t>
  </si>
  <si>
    <t>1S/C8H10/c1-2-8-6-4-3-5-7-8/h3-7H,2H2,1H3</t>
  </si>
  <si>
    <t>Ethylene oxide</t>
  </si>
  <si>
    <t>Oxirane</t>
  </si>
  <si>
    <t>ETHYLENEOXIDE.FLD</t>
  </si>
  <si>
    <t>C2H4O</t>
  </si>
  <si>
    <t>75-21-8</t>
  </si>
  <si>
    <t>557b13f0</t>
  </si>
  <si>
    <t>1040</t>
  </si>
  <si>
    <t>IAYPIBMASNFSPL-UHFFFAOYSA-N</t>
  </si>
  <si>
    <t>1S/C2H4O/c1-2-3-1/h1-2H2</t>
  </si>
  <si>
    <t>Heavy water</t>
  </si>
  <si>
    <t>Deuterium oxide</t>
  </si>
  <si>
    <t>D2O.FLD</t>
  </si>
  <si>
    <t>D2O</t>
  </si>
  <si>
    <t>7789-20-0</t>
  </si>
  <si>
    <t>3e131610</t>
  </si>
  <si>
    <t>XLYOFNOQVPJJNP-ZSJDYOACSA-N</t>
  </si>
  <si>
    <t>1S/H2O/h1H2/i/hD2</t>
  </si>
  <si>
    <t>Heptane</t>
  </si>
  <si>
    <t>n-Heptane</t>
  </si>
  <si>
    <t>heptane.FLD</t>
  </si>
  <si>
    <t>CH3-5(CH2)-CH3</t>
  </si>
  <si>
    <t>C7H16</t>
  </si>
  <si>
    <t>142-82-5</t>
  </si>
  <si>
    <t>b398a3b0</t>
  </si>
  <si>
    <t>1206</t>
  </si>
  <si>
    <t>IMNFDUFMRHMDMM-UHFFFAOYSA-N</t>
  </si>
  <si>
    <t>1S/C7H16/c1-3-5-7-6-4-2/h3-7H2,1-2H3</t>
  </si>
  <si>
    <t>Hexadecane</t>
  </si>
  <si>
    <t>n-Hexadecane</t>
  </si>
  <si>
    <t>C16.FLD</t>
  </si>
  <si>
    <t>C16H34</t>
  </si>
  <si>
    <t>544-76-3</t>
  </si>
  <si>
    <t>8cf1f140</t>
  </si>
  <si>
    <t>DCAYPVUWAIABOU-UHFFFAOYSA-N</t>
  </si>
  <si>
    <t>1S/C16H34/c1-3-5-7-9-11-13-15-16-14-12-10-8-6-4-2/h3-16H2,1-2H3</t>
  </si>
  <si>
    <t>Hexane</t>
  </si>
  <si>
    <t>n-Hexane</t>
  </si>
  <si>
    <t>hexane.FLD</t>
  </si>
  <si>
    <t>CH3-4(CH2)-CH3</t>
  </si>
  <si>
    <t>110-54-3</t>
  </si>
  <si>
    <t>cb03ba40</t>
  </si>
  <si>
    <t>1208</t>
  </si>
  <si>
    <t>VLKZOEOYAKHREP-UHFFFAOYSA-N</t>
  </si>
  <si>
    <t>1S/C6H14/c1-3-5-6-4-2/h3-6H2,1-2H3</t>
  </si>
  <si>
    <t>Isobutene</t>
  </si>
  <si>
    <t>2-Methyl-1-propene</t>
  </si>
  <si>
    <t>Methylpropene</t>
  </si>
  <si>
    <t>IBUTENE.FLD</t>
  </si>
  <si>
    <t>CH2=C(CH3)2</t>
  </si>
  <si>
    <t>br-alkene</t>
  </si>
  <si>
    <t>115-11-7</t>
  </si>
  <si>
    <t>d287e4b0</t>
  </si>
  <si>
    <t>1055</t>
  </si>
  <si>
    <t>VQTUBCCKSQIDNK-UHFFFAOYSA-N</t>
  </si>
  <si>
    <t>1S/C4H8/c1-4(2)3/h1H2,2-3H3</t>
  </si>
  <si>
    <t>Isohexane</t>
  </si>
  <si>
    <t>2-Methylpentane</t>
  </si>
  <si>
    <t>Methylpentane</t>
  </si>
  <si>
    <t>IHEXANE.FLD</t>
  </si>
  <si>
    <t>(CH3)2CH(CH2)2CH3</t>
  </si>
  <si>
    <t>107-83-5</t>
  </si>
  <si>
    <t>faa2db70</t>
  </si>
  <si>
    <t>AFABGHUZZDYHJO-UHFFFAOYSA-N</t>
  </si>
  <si>
    <t>1S/C6H14/c1-4-5-6(2)3/h6H,4-5H2,1-3H3</t>
  </si>
  <si>
    <t>Isooctane</t>
  </si>
  <si>
    <t>2,2,4-Trimethylpentane</t>
  </si>
  <si>
    <t>Isobutyltrimethylmethane</t>
  </si>
  <si>
    <t>IOCTANE.FLD</t>
  </si>
  <si>
    <t>(CH3)2CHCH2C(CH3)3</t>
  </si>
  <si>
    <t>C8H18</t>
  </si>
  <si>
    <t>540-84-1</t>
  </si>
  <si>
    <t>c2dd9ef0</t>
  </si>
  <si>
    <t>1262</t>
  </si>
  <si>
    <t>NHTMVDHEPJAVLT-UHFFFAOYSA-N</t>
  </si>
  <si>
    <t>1S/C8H18/c1-7(2)6-8(3,4)5/h7H,6H2,1-5H3</t>
  </si>
  <si>
    <t>Isopentane</t>
  </si>
  <si>
    <t>2-Methylbutane</t>
  </si>
  <si>
    <t>R-601a</t>
  </si>
  <si>
    <t>IPENTANE.FLD</t>
  </si>
  <si>
    <t>(CH3)2CHCH2CH3</t>
  </si>
  <si>
    <t>C5H12</t>
  </si>
  <si>
    <t>78-78-4</t>
  </si>
  <si>
    <t>86ee46a0</t>
  </si>
  <si>
    <t>1265</t>
  </si>
  <si>
    <t>QWTDNUCVQCZILF-UHFFFAOYSA-N</t>
  </si>
  <si>
    <t>1S/C5H12/c1-4-5(2)3/h5H,4H2,1-3H3</t>
  </si>
  <si>
    <t>MD2M</t>
  </si>
  <si>
    <t>Decamethyltetrasiloxane</t>
  </si>
  <si>
    <t>MD2M.FLD</t>
  </si>
  <si>
    <t>C10H30Si4O3</t>
  </si>
  <si>
    <t>141-62-8</t>
  </si>
  <si>
    <t>63e16330</t>
  </si>
  <si>
    <t>YFCGDEUVHLPRCZ-UHFFFAOYSA-N</t>
  </si>
  <si>
    <t>1S/C10H30O3Si4/c1-14(2,3)11-16(7,8)13-17(9,10)12-15(4,5)6/h1-10H3</t>
  </si>
  <si>
    <t>MD3M</t>
  </si>
  <si>
    <t>Dodecamethylpentasiloxane</t>
  </si>
  <si>
    <t>MD3M.FLD</t>
  </si>
  <si>
    <t>C12H36Si5O4</t>
  </si>
  <si>
    <t>141-63-9</t>
  </si>
  <si>
    <t>7d394df0</t>
  </si>
  <si>
    <t>FBZANXDWQAVSTQ-UHFFFAOYSA-N</t>
  </si>
  <si>
    <t>1S/C12H36O4Si5/c1-17(2,3)13-19(7,8)15-21(11,12)16-20(9,10)14-18(4,5)6/h1-12H3</t>
  </si>
  <si>
    <t>MD4M</t>
  </si>
  <si>
    <t>Tetradecamethylhexasiloxane</t>
  </si>
  <si>
    <t>MD4M.FLD</t>
  </si>
  <si>
    <t>C14H42O5Si6</t>
  </si>
  <si>
    <t>107-52-8</t>
  </si>
  <si>
    <t>eabdcbe0</t>
  </si>
  <si>
    <t>ADANNTOYRVPQLJ-UHFFFAOYSA-N</t>
  </si>
  <si>
    <t>1S/C14H42O5Si6/c1-20(2,3)15-22(7,8)17-24(11,12)19-25(13,14)18-23(9,10)16-21(4,5)6/h1-14H3</t>
  </si>
  <si>
    <t>MDM</t>
  </si>
  <si>
    <t>Octamethyltrisiloxane</t>
  </si>
  <si>
    <t>MDM.FLD</t>
  </si>
  <si>
    <t>C8H24O2Si3</t>
  </si>
  <si>
    <t>107-51-7</t>
  </si>
  <si>
    <t>4be67b80</t>
  </si>
  <si>
    <t>CXQXSVUQTKDNFP-UHFFFAOYSA-N</t>
  </si>
  <si>
    <t>1S/C8H24O2Si3/c1-11(2,3)9-13(7,8)10-12(4,5)6/h1-8H3</t>
  </si>
  <si>
    <t>MEA</t>
  </si>
  <si>
    <t>Ethanolamine</t>
  </si>
  <si>
    <t>2-Aminoethanol</t>
  </si>
  <si>
    <t>MEA.FLD</t>
  </si>
  <si>
    <t>HOCH2CH2NH2</t>
  </si>
  <si>
    <t>C2H7NO</t>
  </si>
  <si>
    <t>141-43-5</t>
  </si>
  <si>
    <t>27b11730</t>
  </si>
  <si>
    <t>2491</t>
  </si>
  <si>
    <t>HZAXFHJVJLSVMW-UHFFFAOYSA-N</t>
  </si>
  <si>
    <t>1S/C2H7NO/c3-1-2-4/h4H,1-3H2</t>
  </si>
  <si>
    <t>Methanol</t>
  </si>
  <si>
    <t>Methyl alcohol</t>
  </si>
  <si>
    <t>methanol.FLD</t>
  </si>
  <si>
    <t>CH3OH</t>
  </si>
  <si>
    <t>CH4O</t>
  </si>
  <si>
    <t>67-56-1</t>
  </si>
  <si>
    <t>c41aa690</t>
  </si>
  <si>
    <t>1230</t>
  </si>
  <si>
    <t>OKKJLVBELUTLKV-UHFFFAOYSA-N</t>
  </si>
  <si>
    <t>1S/CH4O/c1-2/h2H,1H3</t>
  </si>
  <si>
    <t>Methyl linoleate</t>
  </si>
  <si>
    <t>Methyl (Z,Z)-9,12-octadecadienoate</t>
  </si>
  <si>
    <t>Methyl ester(Z,Z)-9,12-octadecadienoic acid</t>
  </si>
  <si>
    <t>MLINOLEA.FLD</t>
  </si>
  <si>
    <t>C19H34O2</t>
  </si>
  <si>
    <t>FAME</t>
  </si>
  <si>
    <t>112-63-0</t>
  </si>
  <si>
    <t>b61b9eb0</t>
  </si>
  <si>
    <t>WTTJVINHCBCLGX-NQLNTKRDSA-N</t>
  </si>
  <si>
    <t>1S/C19H34O2/c1-3-4-5-6-7-8-9-10-11-12-13-14-15-16-17-18-19(20)21-2/h7-8,10-11H,3-6,9,12-18H2,1-2H3/b8-7-,11-10-</t>
  </si>
  <si>
    <t>Methyl linolenate</t>
  </si>
  <si>
    <t>Methyl (Z,Z,Z)-9,12,15-octadecatrienoate</t>
  </si>
  <si>
    <t>Methyl ester linolenic acid</t>
  </si>
  <si>
    <t>MLINOLEN.FLD</t>
  </si>
  <si>
    <t>C19H32O2</t>
  </si>
  <si>
    <t>301-00-8</t>
  </si>
  <si>
    <t>298c8c80</t>
  </si>
  <si>
    <t>DVWSXZIHSUZZKJ-YSTUJMKBSA-N</t>
  </si>
  <si>
    <t>1S/C19H32O2/c1-3-4-5-6-7-8-9-10-11-12-13-14-15-16-17-18-19(20)21-2/h4-5,7-8,10-11H,3,6,9,12-18H2,1-2H3/b5-4-,8-7-,11-10-</t>
  </si>
  <si>
    <t>Methyl oleate</t>
  </si>
  <si>
    <t>Methyl cis-9-octadecenoate</t>
  </si>
  <si>
    <t>Methyl ester oleic acid</t>
  </si>
  <si>
    <t>MOLEATE.FLD</t>
  </si>
  <si>
    <t>C19H36O2</t>
  </si>
  <si>
    <t>112-62-9</t>
  </si>
  <si>
    <t>f300b9e0</t>
  </si>
  <si>
    <t>QYDYPVFESGNLHU-KHPPLWFESA-N</t>
  </si>
  <si>
    <t>1S/C19H36O2/c1-3-4-5-6-7-8-9-10-11-12-13-14-15-16-17-18-19(20)21-2/h10-11H,3-9,12-18H2,1-2H3/b11-10-</t>
  </si>
  <si>
    <t>Methyl palmitate</t>
  </si>
  <si>
    <t>Methyl hexadecanoate</t>
  </si>
  <si>
    <t>Methyl ester palmitic acid</t>
  </si>
  <si>
    <t>MPALMITA.FLD</t>
  </si>
  <si>
    <t>C17H34O2</t>
  </si>
  <si>
    <t>112-39-0</t>
  </si>
  <si>
    <t>27c9ec60</t>
  </si>
  <si>
    <t>FLIACVVOZYBSBS-UHFFFAOYSA-N</t>
  </si>
  <si>
    <t>1S/C17H34O2/c1-3-4-5-6-7-8-9-10-11-12-13-14-15-16-17(18)19-2/h3-16H2,1-2H3</t>
  </si>
  <si>
    <t>Methyl stearate</t>
  </si>
  <si>
    <t>Methyl octadecanoate</t>
  </si>
  <si>
    <t>Methyl ester stearic acid</t>
  </si>
  <si>
    <t>MSTEARAT.FLD</t>
  </si>
  <si>
    <t>C19H38O2</t>
  </si>
  <si>
    <t>112-61-8</t>
  </si>
  <si>
    <t>81403130</t>
  </si>
  <si>
    <t>HPEUJPJOZXNMSJ-UHFFFAOYSA-N</t>
  </si>
  <si>
    <t>1S/C19H38O2/c1-3-4-5-6-7-8-9-10-11-12-13-14-15-16-17-18-19(20)21-2/h3-18H2,1-2H3</t>
  </si>
  <si>
    <t>Methylcyclohexane</t>
  </si>
  <si>
    <t>Cyclohexylmethane</t>
  </si>
  <si>
    <t>C1CC6.FLD</t>
  </si>
  <si>
    <t>C6H11(CH3)</t>
  </si>
  <si>
    <t>C7H14</t>
  </si>
  <si>
    <t>108-87-2</t>
  </si>
  <si>
    <t>0429edd0</t>
  </si>
  <si>
    <t>2296</t>
  </si>
  <si>
    <t>UAEPNZWRGJTJPN-UHFFFAOYSA-N</t>
  </si>
  <si>
    <t>1S/C7H14/c1-7-5-3-2-4-6-7/h7H,2-6H2,1H3</t>
  </si>
  <si>
    <t>MM</t>
  </si>
  <si>
    <t>Hexamethyldisiloxane</t>
  </si>
  <si>
    <t>MM.FLD</t>
  </si>
  <si>
    <t>C6H18OSi2</t>
  </si>
  <si>
    <t>107-46-0</t>
  </si>
  <si>
    <t>78082e80</t>
  </si>
  <si>
    <t>UQEAIHBTYFGYIE-UHFFFAOYSA-N</t>
  </si>
  <si>
    <t>1S/C6H18OSi2/c1-8(2,3)7-9(4,5)6/h1-6H3</t>
  </si>
  <si>
    <t>m-Xylene</t>
  </si>
  <si>
    <t>1,3-Dimethylbenzene</t>
  </si>
  <si>
    <t>MXYLENE.FLD</t>
  </si>
  <si>
    <t>108-38-3</t>
  </si>
  <si>
    <t>0f99ff70</t>
  </si>
  <si>
    <t>IVSZLXZYQVIEFR-UHFFFAOYSA-N</t>
  </si>
  <si>
    <t>1S/C8H10/c1-7-4-3-5-8(2)6-7/h3-6H,1-2H3</t>
  </si>
  <si>
    <t>Neopentane</t>
  </si>
  <si>
    <t>2,2-Dimethylpropane</t>
  </si>
  <si>
    <t>Tetramethylmethane</t>
  </si>
  <si>
    <t>NEOPENTN.FLD</t>
  </si>
  <si>
    <t>C(CH3)4</t>
  </si>
  <si>
    <t>463-82-1</t>
  </si>
  <si>
    <t>5a410790</t>
  </si>
  <si>
    <t>1265, 2044</t>
  </si>
  <si>
    <t>CRSOQBOWXPBRES-UHFFFAOYSA-N</t>
  </si>
  <si>
    <t>1S/C5H12/c1-5(2,3)4/h1-4H3</t>
  </si>
  <si>
    <t>Nonane</t>
  </si>
  <si>
    <t>n-Nonane</t>
  </si>
  <si>
    <t>nonane.FLD</t>
  </si>
  <si>
    <t>CH3-7(CH2)-CH3</t>
  </si>
  <si>
    <t>C9H20</t>
  </si>
  <si>
    <t>111-84-2</t>
  </si>
  <si>
    <t>7f94dc20</t>
  </si>
  <si>
    <t>1920</t>
  </si>
  <si>
    <t>BKIMMITUMNQMOS-UHFFFAOYSA-N</t>
  </si>
  <si>
    <t>1S/C9H20/c1-3-5-7-9-8-6-4-2/h3-9H2,1-2H3</t>
  </si>
  <si>
    <t>Novec 649, 1230</t>
  </si>
  <si>
    <t>1,1,1,2,2,4,5,5,5-Nonafluoro-4-(trifluoromethyl)-3</t>
  </si>
  <si>
    <t>Dodecafluoro-2-methylpentan-3-one</t>
  </si>
  <si>
    <t>NOVEC649.FLD</t>
  </si>
  <si>
    <t>CF3CF2C(=O)CF(CF3)2</t>
  </si>
  <si>
    <t>C6F12O</t>
  </si>
  <si>
    <t>756-13-8</t>
  </si>
  <si>
    <t>a9e22c00</t>
  </si>
  <si>
    <t>RMLFHPWPTXWZNJ-UHFFFAOYSA-N</t>
  </si>
  <si>
    <t>1S/C6F12O/c7-2(4(10,11)12,5(13,14)15)1(19)3(8,9)6(16,17)18</t>
  </si>
  <si>
    <t>Octane</t>
  </si>
  <si>
    <t>n-Octane</t>
  </si>
  <si>
    <t>octane.FLD</t>
  </si>
  <si>
    <t>CH3-6(CH2)-CH3</t>
  </si>
  <si>
    <t>111-65-9</t>
  </si>
  <si>
    <t>f174a9b0</t>
  </si>
  <si>
    <t>TVMXDCGIABBOFY-UHFFFAOYSA-N</t>
  </si>
  <si>
    <t>1S/C8H18/c1-3-5-7-8-6-4-2/h3-8H2,1-2H3</t>
  </si>
  <si>
    <t>o-Xylene</t>
  </si>
  <si>
    <t>1,2-Dimethylbenzene</t>
  </si>
  <si>
    <t>OXYLENE.FLD</t>
  </si>
  <si>
    <t>95-47-6</t>
  </si>
  <si>
    <t>32008e80</t>
  </si>
  <si>
    <t>CTQNGGLPUBDAKN-UHFFFAOYSA-N</t>
  </si>
  <si>
    <t>1S/C8H10/c1-7-5-3-4-6-8(7)2/h3-6H,1-2H3</t>
  </si>
  <si>
    <t>Pentane</t>
  </si>
  <si>
    <t>R-601</t>
  </si>
  <si>
    <t>pentane.FLD</t>
  </si>
  <si>
    <t>CH3-3(CH2)-CH3</t>
  </si>
  <si>
    <t>109-66-0</t>
  </si>
  <si>
    <t>76bc0290</t>
  </si>
  <si>
    <t>OFBQJSOFQDEBGM-UHFFFAOYSA-N</t>
  </si>
  <si>
    <t>1S/C5H12/c1-3-5-4-2/h3-5H2,1-2H3</t>
  </si>
  <si>
    <t>Perfluorohexane</t>
  </si>
  <si>
    <t>Tetradecafluorohexane</t>
  </si>
  <si>
    <t>C6F14.FLD</t>
  </si>
  <si>
    <t>C6F14</t>
  </si>
  <si>
    <t>355-42-0</t>
  </si>
  <si>
    <t>31895f40</t>
  </si>
  <si>
    <t>ZJIJAJXFLBMLCK-UHFFFAOYSA-N</t>
  </si>
  <si>
    <t>1S/C6F14/c7-1(8,3(11,12)5(15,16)17)2(9,10)4(13,14)6(18,19)20</t>
  </si>
  <si>
    <t>Perfluoropentane</t>
  </si>
  <si>
    <t>Dodecafluoropentane</t>
  </si>
  <si>
    <t>C5F12.FLD</t>
  </si>
  <si>
    <t>C5F12</t>
  </si>
  <si>
    <t>678-26-2</t>
  </si>
  <si>
    <t>053a8820</t>
  </si>
  <si>
    <t>NJCBUSHGCBERSK-UHFFFAOYSA-N</t>
  </si>
  <si>
    <t>1S/C5F12/c6-1(7,2(8,9)4(12,13)14)3(10,11)5(15,16)17</t>
  </si>
  <si>
    <t>Propylcyclohexane</t>
  </si>
  <si>
    <t>n-Propylcyclohexane</t>
  </si>
  <si>
    <t>C3CC6.FLD</t>
  </si>
  <si>
    <t>(C6H11)CH2CH2CH3</t>
  </si>
  <si>
    <t>C9H18</t>
  </si>
  <si>
    <t>1678-92-8</t>
  </si>
  <si>
    <t>206f01b0</t>
  </si>
  <si>
    <t>DEDZSLCZHWTGOR-UHFFFAOYSA-N</t>
  </si>
  <si>
    <t>1S/C9H18/c1-2-6-9-7-4-3-5-8-9/h9H,2-8H2,1H3</t>
  </si>
  <si>
    <t>Propylene oxide</t>
  </si>
  <si>
    <t>1,2-Epoxypropane</t>
  </si>
  <si>
    <t>Methyloxirane</t>
  </si>
  <si>
    <t>PROPYLENEOXIDE.FLD</t>
  </si>
  <si>
    <t>CH3CHCH2O</t>
  </si>
  <si>
    <t>75-56-9</t>
  </si>
  <si>
    <t>814f4990</t>
  </si>
  <si>
    <t>1280</t>
  </si>
  <si>
    <t>GOOHAUXETOMSMM-UHFFFAOYSA-N</t>
  </si>
  <si>
    <t>1S/C3H6O/c1-3-2-4-3/h3H,2H2,1H3</t>
  </si>
  <si>
    <t>p-Xylene</t>
  </si>
  <si>
    <t>1,4-Dimethylbenzene</t>
  </si>
  <si>
    <t>PXYLENE.FLD</t>
  </si>
  <si>
    <t>106-42-3</t>
  </si>
  <si>
    <t>01b0e650</t>
  </si>
  <si>
    <t>1307</t>
  </si>
  <si>
    <t>URLKBWYHVLBVBO-UHFFFAOYSA-N</t>
  </si>
  <si>
    <t>1S/C8H10/c1-7-3-5-8(2)6-4-7/h3-6H,1-2H3</t>
  </si>
  <si>
    <t>R11</t>
  </si>
  <si>
    <t>Trichlorofluoromethane</t>
  </si>
  <si>
    <t>CFC-11</t>
  </si>
  <si>
    <t>R11.FLD</t>
  </si>
  <si>
    <t>CCl3F</t>
  </si>
  <si>
    <t>75-69-4</t>
  </si>
  <si>
    <t>6f9b71e0</t>
  </si>
  <si>
    <t>CYRMSUTZVYGINF-UHFFFAOYSA-N</t>
  </si>
  <si>
    <t>1S/CCl3F/c2-1(3,4)5</t>
  </si>
  <si>
    <t>R113</t>
  </si>
  <si>
    <t>1,1,2-Trichloro-1,2,2-trifluoroethane</t>
  </si>
  <si>
    <t>CFC-113</t>
  </si>
  <si>
    <t>R113.FLD</t>
  </si>
  <si>
    <t>CCl2FCClF2</t>
  </si>
  <si>
    <t>C2Cl3F3</t>
  </si>
  <si>
    <t>76-13-1</t>
  </si>
  <si>
    <t>d2a09ee0</t>
  </si>
  <si>
    <t>AJDIZQLSFPQPEY-UHFFFAOYSA-N</t>
  </si>
  <si>
    <t>1S/C2Cl3F3/c3-1(4,6)2(5,7)8</t>
  </si>
  <si>
    <t>R114</t>
  </si>
  <si>
    <t>1,2-Dichloro-1,1,2,2-tetrafluoroethane</t>
  </si>
  <si>
    <t>CFC-114</t>
  </si>
  <si>
    <t>R114.FLD</t>
  </si>
  <si>
    <t>CClF2CClF2</t>
  </si>
  <si>
    <t>C2Cl2F4</t>
  </si>
  <si>
    <t>76-14-2</t>
  </si>
  <si>
    <t>b1698aa0</t>
  </si>
  <si>
    <t>1958</t>
  </si>
  <si>
    <t>DDMOUSALMHHKOS-UHFFFAOYSA-N</t>
  </si>
  <si>
    <t>1S/C2Cl2F4/c3-1(5,6)2(4,7)8</t>
  </si>
  <si>
    <t>R1224yd(Z)</t>
  </si>
  <si>
    <t>(Z)-1-Chloro-2,3,3,3-tetrafluoropropene</t>
  </si>
  <si>
    <t>HCFO-1224yd(Z)</t>
  </si>
  <si>
    <t>R1224YDZ.FLD</t>
  </si>
  <si>
    <t>CF3CF=CHCl (cis)</t>
  </si>
  <si>
    <t>C3HClF4</t>
  </si>
  <si>
    <t>111512-60-8</t>
  </si>
  <si>
    <t>55d0af00</t>
  </si>
  <si>
    <t>GDPWRLVSJWKGPJ-UPHRSURJSA-N</t>
  </si>
  <si>
    <t>1S/C3HClF4/c4-1-2(5)3(6,7)8/h1H/b2-1-</t>
  </si>
  <si>
    <t>R123</t>
  </si>
  <si>
    <t>2,2-Dichloro-1,1,1-trifluoroethane</t>
  </si>
  <si>
    <t>HCFC-123</t>
  </si>
  <si>
    <t>R123.FLD</t>
  </si>
  <si>
    <t>CHCl2CF3</t>
  </si>
  <si>
    <t>C2HCl2F3</t>
  </si>
  <si>
    <t>306-83-2</t>
  </si>
  <si>
    <t>efdfede0</t>
  </si>
  <si>
    <t>B1</t>
  </si>
  <si>
    <t>OHMHBGPWCHTMQE-UHFFFAOYSA-N</t>
  </si>
  <si>
    <t>1S/C2HCl2F3/c3-1(4)2(5,6)7/h1H</t>
  </si>
  <si>
    <t>R1233zd(E)</t>
  </si>
  <si>
    <t>trans-1-Chloro-3,3,3-trifluoro-1-propene</t>
  </si>
  <si>
    <t>HFO-1233zd(E)</t>
  </si>
  <si>
    <t>R1233ZDE.FLD</t>
  </si>
  <si>
    <t>CF3CH=CHCl</t>
  </si>
  <si>
    <t>C3H2ClF3</t>
  </si>
  <si>
    <t>102687-65-0</t>
  </si>
  <si>
    <t>bf17dfe0</t>
  </si>
  <si>
    <t>3163</t>
  </si>
  <si>
    <t>LDTMPQQAWUMPKS-OWOJBTEDSA-N</t>
  </si>
  <si>
    <t>1S/C3H2ClF3/c4-2-1-3(5,6)7/h1-2H/b2-1+</t>
  </si>
  <si>
    <t>C3F4H2</t>
  </si>
  <si>
    <t>R1234ze(Z)</t>
  </si>
  <si>
    <t>cis-1,3,3,3-Tetrafluoropropene</t>
  </si>
  <si>
    <t>R-1234ze(Z)</t>
  </si>
  <si>
    <t>R1234ZEZ.FLD</t>
  </si>
  <si>
    <t>CHF=CHCF3 (cis)</t>
  </si>
  <si>
    <t>29118-25-0</t>
  </si>
  <si>
    <t>e23fd030</t>
  </si>
  <si>
    <t>CDOOAUSHHFGWSA-UPHRSURJSA-N</t>
  </si>
  <si>
    <t>1S/C3H2F4/c4-2-1-3(5,6)7/h1-2H/b2-1-</t>
  </si>
  <si>
    <t>R1336mzz(Z)</t>
  </si>
  <si>
    <t>(Z)-1,1,1,4,4,4-Hexafluoro-2-butene</t>
  </si>
  <si>
    <t>HFO-1336mzz(Z)</t>
  </si>
  <si>
    <t>R1336MZZZ.FLD</t>
  </si>
  <si>
    <t>CF3CH=CHCF3(Z)</t>
  </si>
  <si>
    <t>C4H2F6</t>
  </si>
  <si>
    <t>692-49-9</t>
  </si>
  <si>
    <t>8da378b0</t>
  </si>
  <si>
    <t>NLOLSXYRJFEOTA-UPHRSURJSA-N</t>
  </si>
  <si>
    <t>1S/C4H2F6/c5-3(6,7)1-2-4(8,9)10/h1-2H/b2-1-</t>
  </si>
  <si>
    <t>R141b</t>
  </si>
  <si>
    <t>1,1-Dichloro-1-fluoroethane</t>
  </si>
  <si>
    <t>HCFC-141b</t>
  </si>
  <si>
    <t>R141b.FLD</t>
  </si>
  <si>
    <t>CCl2FCH3</t>
  </si>
  <si>
    <t>C2H3Cl2F</t>
  </si>
  <si>
    <t>1717-00-6</t>
  </si>
  <si>
    <t>ba322c10</t>
  </si>
  <si>
    <t>FRCHKSNAZZFGCA-UHFFFAOYSA-N</t>
  </si>
  <si>
    <t>1S/C2H3Cl2F/c1-2(3,4)5/h1H3</t>
  </si>
  <si>
    <t>R21</t>
  </si>
  <si>
    <t>Dichlorofluoromethane</t>
  </si>
  <si>
    <t>HCFC-21</t>
  </si>
  <si>
    <t>R21.FLD</t>
  </si>
  <si>
    <t>CHCl2F</t>
  </si>
  <si>
    <t>75-43-4</t>
  </si>
  <si>
    <t>79ff2f80</t>
  </si>
  <si>
    <t>1029</t>
  </si>
  <si>
    <t>UMNKXPULIDJLSU-UHFFFAOYSA-N</t>
  </si>
  <si>
    <t>1S/CHCl2F/c2-1(3)4/h1H</t>
  </si>
  <si>
    <t>R245ca</t>
  </si>
  <si>
    <t>1,1,2,2,3-Pentafluoropropane</t>
  </si>
  <si>
    <t>HFC-245ca</t>
  </si>
  <si>
    <t>R245ca.FLD</t>
  </si>
  <si>
    <t>CHF2CF2CH2F</t>
  </si>
  <si>
    <t>C3H3F5</t>
  </si>
  <si>
    <t>679-86-7</t>
  </si>
  <si>
    <t>ead82280</t>
  </si>
  <si>
    <t>AWTOFSDLNREIFS-UHFFFAOYSA-N</t>
  </si>
  <si>
    <t>1S/C3H3F5/c4-1-3(7,8)2(5)6/h2H,1H2</t>
  </si>
  <si>
    <t>R245fa</t>
  </si>
  <si>
    <t>1,1,1,3,3-Pentafluoropropane</t>
  </si>
  <si>
    <t>HFC-245fa</t>
  </si>
  <si>
    <t>R245fa.FLD</t>
  </si>
  <si>
    <t>CF3CH2CHF2</t>
  </si>
  <si>
    <t>460-73-1</t>
  </si>
  <si>
    <t>5c322280</t>
  </si>
  <si>
    <t>MSSNHSVIGIHOJA-UHFFFAOYSA-N</t>
  </si>
  <si>
    <t>1S/C3H3F5/c4-2(5)1-3(6,7)8/h2H,1H2</t>
  </si>
  <si>
    <t>R365mfc</t>
  </si>
  <si>
    <t>1,1,1,3,3-Pentafluorobutane</t>
  </si>
  <si>
    <t>HFC-365mfc</t>
  </si>
  <si>
    <t>R365mfc.FLD</t>
  </si>
  <si>
    <t>CF3CH2CF2CH3</t>
  </si>
  <si>
    <t>C4H5F5</t>
  </si>
  <si>
    <t>406-58-6</t>
  </si>
  <si>
    <t>9d316cb0</t>
  </si>
  <si>
    <t>WZLFPVPRZGTCKP-UHFFFAOYSA-N</t>
  </si>
  <si>
    <t>1S/C4H5F5/c1-3(5,6)2-4(7,8)9/h2H2,1H3</t>
  </si>
  <si>
    <t>C3H3F5O</t>
  </si>
  <si>
    <t>RE245fa2</t>
  </si>
  <si>
    <t>2,2,2-Trifluoroethyl-difluoromethyl-ether</t>
  </si>
  <si>
    <t>HFE-245fa2</t>
  </si>
  <si>
    <t>RE245fa2.FLD</t>
  </si>
  <si>
    <t>CHF2OCH2CF3</t>
  </si>
  <si>
    <t>1885-48-9</t>
  </si>
  <si>
    <t>a7275d70</t>
  </si>
  <si>
    <t>ZASBKNPRLPFSCA-UHFFFAOYSA-N</t>
  </si>
  <si>
    <t>1S/C3H3F5O/c4-2(5)9-1-3(6,7)8/h2H,1H2</t>
  </si>
  <si>
    <t>RE347mcc (HFE-7000)</t>
  </si>
  <si>
    <t>1,1,1,2,2,3,3-Heptafluoro-3-methoxypropane</t>
  </si>
  <si>
    <t>HFE-7000</t>
  </si>
  <si>
    <t>RE347MCC.FLD</t>
  </si>
  <si>
    <t>CF3CF2CF2OCH3</t>
  </si>
  <si>
    <t>C4H3F7O</t>
  </si>
  <si>
    <t>375-03-1</t>
  </si>
  <si>
    <t>12934ef0</t>
  </si>
  <si>
    <t>NOPJRYAFUXTDLX-UHFFFAOYSA-N</t>
  </si>
  <si>
    <t>1S/C4H3F7O/c1-12-4(10,11)2(5,6)3(7,8)9/h1H3</t>
  </si>
  <si>
    <t>Sulfur dioxide</t>
  </si>
  <si>
    <t>R-764</t>
  </si>
  <si>
    <t>SO2.FLD</t>
  </si>
  <si>
    <t>SO2</t>
  </si>
  <si>
    <t>O2S</t>
  </si>
  <si>
    <t>7446-09-5</t>
  </si>
  <si>
    <t>7fad4b80</t>
  </si>
  <si>
    <t>1079</t>
  </si>
  <si>
    <t>RAHZWNYVWXNFOC-UHFFFAOYSA-N</t>
  </si>
  <si>
    <t>1S/O2S/c1-3-2</t>
  </si>
  <si>
    <t>Toluene</t>
  </si>
  <si>
    <t>Methylbenzene</t>
  </si>
  <si>
    <t>toluene.FLD</t>
  </si>
  <si>
    <t>CH3-C6H5</t>
  </si>
  <si>
    <t>C7H8</t>
  </si>
  <si>
    <t>108-88-3</t>
  </si>
  <si>
    <t>a49b8b50</t>
  </si>
  <si>
    <t>1294</t>
  </si>
  <si>
    <t>YXFVVABEGXRONW-UHFFFAOYSA-N</t>
  </si>
  <si>
    <t>1S/C7H8/c1-7-5-3-2-4-6-7/h2-6H,1H3</t>
  </si>
  <si>
    <t>trans-Butene</t>
  </si>
  <si>
    <t>trans-2-Butene</t>
  </si>
  <si>
    <t>(E)-2-Butene</t>
  </si>
  <si>
    <t>T2BUTENE.FLD</t>
  </si>
  <si>
    <t>624-64-6</t>
  </si>
  <si>
    <t>b28337f0</t>
  </si>
  <si>
    <t>IAQRGUVFOMOMEM-ONEGZZNKSA-N</t>
  </si>
  <si>
    <t>1S/C4H8/c1-3-4-2/h3-4H,1-2H3/b4-3+</t>
  </si>
  <si>
    <t>Undecane</t>
  </si>
  <si>
    <t>n-Undecane</t>
  </si>
  <si>
    <t>C11.FLD</t>
  </si>
  <si>
    <t>CH3-9(CH2)-CH3</t>
  </si>
  <si>
    <t>C11H24</t>
  </si>
  <si>
    <t>1120-21-4</t>
  </si>
  <si>
    <t>62f46c40</t>
  </si>
  <si>
    <t>2330</t>
  </si>
  <si>
    <t>RSJKGSCJYJTIGS-UHFFFAOYSA-N</t>
  </si>
  <si>
    <t>1S/C11H24/c1-3-5-7-9-11-10-8-6-4-2/h3-11H2,1-2H3</t>
  </si>
  <si>
    <t>Vinyl chloride</t>
  </si>
  <si>
    <t>Chloroethylene</t>
  </si>
  <si>
    <t>R-1140</t>
  </si>
  <si>
    <t>VINYLCHLORIDE.FLD</t>
  </si>
  <si>
    <t>C2H3Cl</t>
  </si>
  <si>
    <t>75-01-4</t>
  </si>
  <si>
    <t>0b34bc40</t>
  </si>
  <si>
    <t>1086</t>
  </si>
  <si>
    <t>BZHJMEDXRYGGRV-UHFFFAOYSA-N</t>
  </si>
  <si>
    <t>1S/C2H3Cl/c1-2-3/h2H,1H2</t>
  </si>
  <si>
    <t>Water</t>
  </si>
  <si>
    <t>R-718</t>
  </si>
  <si>
    <t>water.FLD</t>
  </si>
  <si>
    <t>H2O</t>
  </si>
  <si>
    <t>7732-18-5</t>
  </si>
  <si>
    <t>b43a7600</t>
  </si>
  <si>
    <t>XLYOFNOQVPJJNP-UHFFFAOYSA-N</t>
  </si>
  <si>
    <t>1S/H2O/h1H2</t>
  </si>
  <si>
    <t>Tcond</t>
  </si>
  <si>
    <t>°C</t>
  </si>
  <si>
    <t xml:space="preserve"> =</t>
  </si>
  <si>
    <t>K</t>
  </si>
  <si>
    <t>Tcrit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</si>
</sst>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indexed="27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2" borderId="6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</cellXfs>
  <cellStyles count="1">
    <cellStyle name="Normální" xfId="0" builtinId="0"/>
  </cellStyles>
  <dxfs count="35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 style="medium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outline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7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99CCFF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52ADBB-AB0A-4B29-A11C-38382C544CF0}" name="Tabulka1" displayName="Tabulka1" ref="A1:AD91" totalsRowShown="0" headerRowDxfId="34" dataDxfId="33" tableBorderDxfId="32">
  <autoFilter ref="A1:AD91" xr:uid="{8952ADBB-AB0A-4B29-A11C-38382C544CF0}"/>
  <sortState xmlns:xlrd2="http://schemas.microsoft.com/office/spreadsheetml/2017/richdata2" ref="A2:AD91">
    <sortCondition ref="A1:A91"/>
  </sortState>
  <tableColumns count="30">
    <tableColumn id="1" xr3:uid="{4859F279-FC01-4C27-A1A5-963515418110}" name="Short name" dataDxfId="31"/>
    <tableColumn id="2" xr3:uid="{9D918637-9E7E-4010-AA02-208CB900E369}" name="New in Version 10" dataDxfId="30"/>
    <tableColumn id="3" xr3:uid="{8AE6DCBC-45CE-48FA-AD49-C19F4848CE06}" name="Full name" dataDxfId="29"/>
    <tableColumn id="4" xr3:uid="{ED7173EC-443D-45C3-8486-04B63BCEA025}" name="Synonym" dataDxfId="28"/>
    <tableColumn id="5" xr3:uid="{89218849-C153-447C-BB8C-9529DCE61A2B}" name="Fluid file" dataDxfId="27"/>
    <tableColumn id="6" xr3:uid="{652E5239-C1CD-4F73-9EDF-200F153B00E2}" name="Chemical Formula" dataDxfId="26"/>
    <tableColumn id="7" xr3:uid="{D57673D5-9493-4CD5-8E4D-F6A42B330345}" name="Short Formula" dataDxfId="25"/>
    <tableColumn id="8" xr3:uid="{50B3EFE6-C314-4E9E-BFBB-6B2D5C89FCCD}" name="Molar Mass (g/mol)" dataDxfId="24"/>
    <tableColumn id="9" xr3:uid="{97A55931-6C93-46E0-9A66-77F0AC19B2C3}" name="Boiling point temperature (K)" dataDxfId="23"/>
    <tableColumn id="10" xr3:uid="{0D48F59E-5805-4BD7-90B8-BB203D213032}" name="Triple point temperature (K)" dataDxfId="22"/>
    <tableColumn id="11" xr3:uid="{8A3C87BB-D096-4880-9DDF-DE106CE38FEC}" name="Critical temperature (K)" dataDxfId="21"/>
    <tableColumn id="12" xr3:uid="{E3F0D311-7974-422B-9340-F384B244EC97}" name="Critical pressure (MPa)" dataDxfId="20"/>
    <tableColumn id="13" xr3:uid="{89A46A5B-ADF7-4137-AD04-440259E37209}" name="Critical density (mol/dm^3)" dataDxfId="19"/>
    <tableColumn id="14" xr3:uid="{68C131BF-3403-4DE1-AAD6-A7B82E508BFE}" name="Dipole moment" dataDxfId="18"/>
    <tableColumn id="15" xr3:uid="{4D47F5A5-848F-4A11-8B88-106280F84F37}" name="Acentric factor" dataDxfId="17"/>
    <tableColumn id="16" xr3:uid="{07CBCDAE-CA14-48C8-BBBB-F0C6854F6FC8}" name="Heating value (J/mol)" dataDxfId="16"/>
    <tableColumn id="17" xr3:uid="{F972A04D-4EAF-425A-B9E5-091DD624EBA1}" name="Heat of Formation (J/mol)" dataDxfId="15"/>
    <tableColumn id="18" xr3:uid="{D1325E70-8378-4AB2-86F2-8FC5D687B82B}" name="Family" dataDxfId="14"/>
    <tableColumn id="19" xr3:uid="{8DCA0511-38EB-4BF6-86CA-D53AC0875624}" name="Lower temperature limit (K)" dataDxfId="13"/>
    <tableColumn id="20" xr3:uid="{EFC6156D-EF61-4EA6-80BF-B1F280DA1B59}" name="Upper temperature limit (K)" dataDxfId="12"/>
    <tableColumn id="21" xr3:uid="{233E8B9E-CD50-4B55-89A3-F32DA6D591FC}" name="Upper pressure limit (MPa)" dataDxfId="11"/>
    <tableColumn id="22" xr3:uid="{0895640E-8685-4B0F-BA79-3CB1D2D2B02D}" name="CAS number" dataDxfId="10"/>
    <tableColumn id="23" xr3:uid="{C0092A17-DCF1-4467-98F1-2B13661648B7}" name="Hash" dataDxfId="9"/>
    <tableColumn id="24" xr3:uid="{38B36995-8E7A-49D3-9503-D0A1019F317A}" name="Reference state" dataDxfId="8"/>
    <tableColumn id="25" xr3:uid="{17FC834C-7B96-49A9-A82F-9343E27C57D0}" name="UN number" dataDxfId="7"/>
    <tableColumn id="26" xr3:uid="{F6716D83-DE4C-4DCE-959E-D483CF0FB8CE}" name="GWP" dataDxfId="6"/>
    <tableColumn id="27" xr3:uid="{7265A8D0-CFF6-415F-835D-AB8059EE6183}" name="ODP" dataDxfId="5"/>
    <tableColumn id="28" xr3:uid="{3BF8A3E1-4D9A-459C-B9C8-5CD0C527F418}" name="ASHRAE 34 Safety Classification" dataDxfId="4"/>
    <tableColumn id="29" xr3:uid="{27A813A0-C128-44A4-AA80-8DA82CC43079}" name="Standard InChI Key" dataDxfId="3"/>
    <tableColumn id="30" xr3:uid="{CA650C7B-A0BE-4110-8763-174A6A5C98DF}" name="Standard InChI String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49"/>
  <sheetViews>
    <sheetView tabSelected="1" topLeftCell="A43" zoomScale="70" zoomScaleNormal="70" workbookViewId="0">
      <pane xSplit="1" topLeftCell="N1" activePane="topRight" state="frozen"/>
      <selection pane="topRight" activeCell="AA70" sqref="AA70"/>
    </sheetView>
  </sheetViews>
  <sheetFormatPr defaultRowHeight="14.4" x14ac:dyDescent="0.3"/>
  <cols>
    <col min="1" max="1" width="21.77734375" customWidth="1"/>
    <col min="2" max="2" width="12.21875" customWidth="1"/>
    <col min="3" max="3" width="17.6640625" customWidth="1"/>
    <col min="4" max="4" width="10.6640625" customWidth="1"/>
    <col min="5" max="5" width="10.5546875" customWidth="1"/>
    <col min="6" max="6" width="9.6640625" customWidth="1"/>
    <col min="7" max="7" width="17.5546875" customWidth="1"/>
    <col min="8" max="8" width="14.33203125" customWidth="1"/>
    <col min="9" max="9" width="18.33203125" customWidth="1"/>
    <col min="10" max="10" width="26.109375" customWidth="1"/>
    <col min="11" max="11" width="25.109375" customWidth="1"/>
    <col min="12" max="12" width="21.88671875" customWidth="1"/>
    <col min="13" max="13" width="21.77734375" customWidth="1"/>
    <col min="14" max="14" width="24.33203125" customWidth="1"/>
    <col min="15" max="16" width="14.88671875" customWidth="1"/>
    <col min="17" max="17" width="19.88671875" customWidth="1"/>
    <col min="18" max="18" width="23.5546875" customWidth="1"/>
    <col min="20" max="21" width="24.77734375" customWidth="1"/>
    <col min="22" max="22" width="24.6640625" customWidth="1"/>
    <col min="23" max="23" width="13.33203125" customWidth="1"/>
    <col min="25" max="25" width="15.6640625" customWidth="1"/>
    <col min="26" max="26" width="12" customWidth="1"/>
    <col min="29" max="29" width="29.88671875" customWidth="1"/>
    <col min="30" max="30" width="19" customWidth="1"/>
    <col min="31" max="31" width="20.5546875" customWidth="1"/>
  </cols>
  <sheetData>
    <row r="1" spans="1:41" ht="54" thickBot="1" x14ac:dyDescent="0.3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4" t="s">
        <v>28</v>
      </c>
      <c r="AD1" s="15" t="s">
        <v>29</v>
      </c>
      <c r="AF1" t="s">
        <v>819</v>
      </c>
      <c r="AG1">
        <v>130</v>
      </c>
      <c r="AH1" t="s">
        <v>820</v>
      </c>
      <c r="AI1" t="s">
        <v>821</v>
      </c>
      <c r="AJ1">
        <f>AG1+273.15</f>
        <v>403.15</v>
      </c>
      <c r="AK1" t="s">
        <v>822</v>
      </c>
      <c r="AM1" t="s">
        <v>823</v>
      </c>
      <c r="AN1">
        <f>AJ1/0.9</f>
        <v>447.9444444444444</v>
      </c>
      <c r="AO1" t="s">
        <v>822</v>
      </c>
    </row>
    <row r="2" spans="1:41" ht="15" customHeight="1" thickBot="1" x14ac:dyDescent="0.35">
      <c r="A2" s="16" t="s">
        <v>30</v>
      </c>
      <c r="B2" s="1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>
        <v>54.090440000000001</v>
      </c>
      <c r="I2" s="2">
        <v>268.661</v>
      </c>
      <c r="J2" s="2">
        <v>164.25</v>
      </c>
      <c r="K2" s="2">
        <v>425.13499999999999</v>
      </c>
      <c r="L2" s="2">
        <v>4.3052999999999999</v>
      </c>
      <c r="M2" s="2">
        <v>4.53</v>
      </c>
      <c r="N2" s="2">
        <v>0</v>
      </c>
      <c r="O2" s="2">
        <v>0.192</v>
      </c>
      <c r="P2" s="2">
        <v>2540.77</v>
      </c>
      <c r="Q2" s="3">
        <v>109235.99999999988</v>
      </c>
      <c r="R2" s="2" t="s">
        <v>37</v>
      </c>
      <c r="S2" s="2">
        <v>164.25</v>
      </c>
      <c r="T2" s="2">
        <v>426</v>
      </c>
      <c r="U2" s="2">
        <v>10</v>
      </c>
      <c r="V2" s="2" t="s">
        <v>38</v>
      </c>
      <c r="W2" s="2" t="s">
        <v>39</v>
      </c>
      <c r="X2" s="2" t="s">
        <v>40</v>
      </c>
      <c r="Y2" s="2" t="s">
        <v>41</v>
      </c>
      <c r="Z2" s="2"/>
      <c r="AA2" s="2"/>
      <c r="AB2" s="2"/>
      <c r="AC2" s="2" t="s">
        <v>42</v>
      </c>
      <c r="AD2" s="10" t="s">
        <v>43</v>
      </c>
    </row>
    <row r="3" spans="1:41" ht="15" thickBot="1" x14ac:dyDescent="0.35">
      <c r="A3" s="17" t="s">
        <v>44</v>
      </c>
      <c r="B3" s="4" t="s">
        <v>31</v>
      </c>
      <c r="C3" s="5" t="s">
        <v>45</v>
      </c>
      <c r="D3" s="5" t="s">
        <v>46</v>
      </c>
      <c r="E3" s="5" t="s">
        <v>47</v>
      </c>
      <c r="F3" s="5" t="s">
        <v>36</v>
      </c>
      <c r="G3" s="5" t="s">
        <v>36</v>
      </c>
      <c r="H3" s="5">
        <v>54.090440000000001</v>
      </c>
      <c r="I3" s="5">
        <v>281.23</v>
      </c>
      <c r="J3" s="5">
        <v>147.44</v>
      </c>
      <c r="K3" s="2">
        <v>432</v>
      </c>
      <c r="L3" s="5">
        <v>4.1416000000000004</v>
      </c>
      <c r="M3" s="5">
        <v>4.6500000000000004</v>
      </c>
      <c r="N3" s="5">
        <v>0.81</v>
      </c>
      <c r="O3" s="5">
        <v>0.28000000000000003</v>
      </c>
      <c r="P3" s="5">
        <v>2596.7600000000002</v>
      </c>
      <c r="Q3" s="6">
        <v>165226.00000000012</v>
      </c>
      <c r="R3" s="5" t="s">
        <v>48</v>
      </c>
      <c r="S3" s="5">
        <v>147.44</v>
      </c>
      <c r="T3" s="5">
        <v>432</v>
      </c>
      <c r="U3" s="5">
        <v>10</v>
      </c>
      <c r="V3" s="5" t="s">
        <v>49</v>
      </c>
      <c r="W3" s="5" t="s">
        <v>50</v>
      </c>
      <c r="X3" s="5" t="s">
        <v>40</v>
      </c>
      <c r="Y3" s="5" t="s">
        <v>51</v>
      </c>
      <c r="Z3" s="5"/>
      <c r="AA3" s="5"/>
      <c r="AB3" s="5"/>
      <c r="AC3" s="5" t="s">
        <v>52</v>
      </c>
      <c r="AD3" s="11" t="s">
        <v>53</v>
      </c>
    </row>
    <row r="4" spans="1:41" ht="15" thickBot="1" x14ac:dyDescent="0.35">
      <c r="A4" s="17" t="s">
        <v>54</v>
      </c>
      <c r="B4" s="4" t="s">
        <v>31</v>
      </c>
      <c r="C4" s="5" t="s">
        <v>55</v>
      </c>
      <c r="D4" s="5" t="s">
        <v>56</v>
      </c>
      <c r="E4" s="5" t="s">
        <v>57</v>
      </c>
      <c r="F4" s="5" t="s">
        <v>58</v>
      </c>
      <c r="G4" s="5" t="s">
        <v>58</v>
      </c>
      <c r="H4" s="5">
        <v>70.132900000000006</v>
      </c>
      <c r="I4" s="5">
        <v>303.101</v>
      </c>
      <c r="J4" s="5">
        <v>107.797</v>
      </c>
      <c r="K4" s="2">
        <v>465.74</v>
      </c>
      <c r="L4" s="5">
        <v>3.5979999999999999</v>
      </c>
      <c r="M4" s="5">
        <v>3.45</v>
      </c>
      <c r="N4" s="5">
        <v>0.51</v>
      </c>
      <c r="O4" s="5">
        <v>0.23300000000000001</v>
      </c>
      <c r="P4" s="5">
        <v>3375.42</v>
      </c>
      <c r="Q4" s="6">
        <v>-21284.999999999854</v>
      </c>
      <c r="R4" s="5" t="s">
        <v>37</v>
      </c>
      <c r="S4" s="5">
        <v>107.797</v>
      </c>
      <c r="T4" s="5">
        <v>466</v>
      </c>
      <c r="U4" s="5">
        <v>10</v>
      </c>
      <c r="V4" s="5" t="s">
        <v>59</v>
      </c>
      <c r="W4" s="5" t="s">
        <v>60</v>
      </c>
      <c r="X4" s="5" t="s">
        <v>40</v>
      </c>
      <c r="Y4" s="5" t="s">
        <v>61</v>
      </c>
      <c r="Z4" s="5"/>
      <c r="AA4" s="5"/>
      <c r="AB4" s="5"/>
      <c r="AC4" s="5" t="s">
        <v>62</v>
      </c>
      <c r="AD4" s="11" t="s">
        <v>63</v>
      </c>
    </row>
    <row r="5" spans="1:41" ht="15" thickBot="1" x14ac:dyDescent="0.35">
      <c r="A5" s="17" t="s">
        <v>64</v>
      </c>
      <c r="B5" s="4" t="s">
        <v>31</v>
      </c>
      <c r="C5" s="5" t="s">
        <v>64</v>
      </c>
      <c r="D5" s="5" t="s">
        <v>65</v>
      </c>
      <c r="E5" s="5" t="s">
        <v>66</v>
      </c>
      <c r="F5" s="5" t="s">
        <v>67</v>
      </c>
      <c r="G5" s="5" t="s">
        <v>68</v>
      </c>
      <c r="H5" s="5">
        <v>86.175359999999998</v>
      </c>
      <c r="I5" s="5">
        <v>322.846</v>
      </c>
      <c r="J5" s="5">
        <v>174.2</v>
      </c>
      <c r="K5" s="2">
        <v>490</v>
      </c>
      <c r="L5" s="5">
        <v>3.1379999999999999</v>
      </c>
      <c r="M5" s="5">
        <v>2.78</v>
      </c>
      <c r="N5" s="5">
        <v>0</v>
      </c>
      <c r="O5" s="5">
        <v>0.23</v>
      </c>
      <c r="P5" s="5">
        <v>4177.5200000000004</v>
      </c>
      <c r="Q5" s="6">
        <v>-184355.99999999977</v>
      </c>
      <c r="R5" s="5" t="s">
        <v>69</v>
      </c>
      <c r="S5" s="5">
        <v>174.2</v>
      </c>
      <c r="T5" s="5">
        <v>575</v>
      </c>
      <c r="U5" s="5">
        <v>1000</v>
      </c>
      <c r="V5" s="5" t="s">
        <v>70</v>
      </c>
      <c r="W5" s="5" t="s">
        <v>71</v>
      </c>
      <c r="X5" s="5" t="s">
        <v>40</v>
      </c>
      <c r="Y5" s="5" t="s">
        <v>72</v>
      </c>
      <c r="Z5" s="5"/>
      <c r="AA5" s="5"/>
      <c r="AB5" s="5"/>
      <c r="AC5" s="5" t="s">
        <v>73</v>
      </c>
      <c r="AD5" s="11" t="s">
        <v>74</v>
      </c>
    </row>
    <row r="6" spans="1:41" ht="15" thickBot="1" x14ac:dyDescent="0.35">
      <c r="A6" s="17" t="s">
        <v>75</v>
      </c>
      <c r="B6" s="4" t="s">
        <v>31</v>
      </c>
      <c r="C6" s="5" t="s">
        <v>75</v>
      </c>
      <c r="D6" s="5" t="s">
        <v>76</v>
      </c>
      <c r="E6" s="5" t="s">
        <v>77</v>
      </c>
      <c r="F6" s="5" t="s">
        <v>78</v>
      </c>
      <c r="G6" s="5" t="s">
        <v>68</v>
      </c>
      <c r="H6" s="5">
        <v>86.175359999999998</v>
      </c>
      <c r="I6" s="5">
        <v>331.17700000000002</v>
      </c>
      <c r="J6" s="5">
        <v>145.05000000000001</v>
      </c>
      <c r="K6" s="2">
        <v>500.6</v>
      </c>
      <c r="L6" s="5">
        <v>3.161</v>
      </c>
      <c r="M6" s="5">
        <v>2.8</v>
      </c>
      <c r="N6" s="5">
        <v>0</v>
      </c>
      <c r="O6" s="5">
        <v>0.247</v>
      </c>
      <c r="P6" s="5">
        <v>4185.28</v>
      </c>
      <c r="Q6" s="6">
        <v>-176596.00000000047</v>
      </c>
      <c r="R6" s="5" t="s">
        <v>69</v>
      </c>
      <c r="S6" s="5">
        <v>145.05000000000001</v>
      </c>
      <c r="T6" s="5">
        <v>550</v>
      </c>
      <c r="U6" s="5">
        <v>1000</v>
      </c>
      <c r="V6" s="5" t="s">
        <v>79</v>
      </c>
      <c r="W6" s="5" t="s">
        <v>80</v>
      </c>
      <c r="X6" s="5" t="s">
        <v>40</v>
      </c>
      <c r="Y6" s="5" t="s">
        <v>72</v>
      </c>
      <c r="Z6" s="5"/>
      <c r="AA6" s="5"/>
      <c r="AB6" s="5"/>
      <c r="AC6" s="5" t="s">
        <v>81</v>
      </c>
      <c r="AD6" s="11" t="s">
        <v>82</v>
      </c>
    </row>
    <row r="7" spans="1:41" ht="15" thickBot="1" x14ac:dyDescent="0.35">
      <c r="A7" s="17" t="s">
        <v>83</v>
      </c>
      <c r="B7" s="4" t="s">
        <v>31</v>
      </c>
      <c r="C7" s="5" t="s">
        <v>83</v>
      </c>
      <c r="D7" s="5" t="s">
        <v>84</v>
      </c>
      <c r="E7" s="5" t="s">
        <v>85</v>
      </c>
      <c r="F7" s="5" t="s">
        <v>86</v>
      </c>
      <c r="G7" s="5" t="s">
        <v>68</v>
      </c>
      <c r="H7" s="5">
        <v>86.175359999999998</v>
      </c>
      <c r="I7" s="5">
        <v>336.37900000000002</v>
      </c>
      <c r="J7" s="5">
        <v>110.26300000000001</v>
      </c>
      <c r="K7" s="2">
        <v>506</v>
      </c>
      <c r="L7" s="5">
        <v>3.1844999999999999</v>
      </c>
      <c r="M7" s="5">
        <v>2.78</v>
      </c>
      <c r="N7" s="5">
        <v>0</v>
      </c>
      <c r="O7" s="5">
        <v>0.26800000000000002</v>
      </c>
      <c r="P7" s="5">
        <v>4189.8999999999996</v>
      </c>
      <c r="Q7" s="6">
        <v>-171976.00000000058</v>
      </c>
      <c r="R7" s="5" t="s">
        <v>69</v>
      </c>
      <c r="S7" s="5">
        <v>110.26300000000001</v>
      </c>
      <c r="T7" s="5">
        <v>550</v>
      </c>
      <c r="U7" s="5">
        <v>1000</v>
      </c>
      <c r="V7" s="5" t="s">
        <v>87</v>
      </c>
      <c r="W7" s="5" t="s">
        <v>88</v>
      </c>
      <c r="X7" s="5" t="s">
        <v>40</v>
      </c>
      <c r="Y7" s="5" t="s">
        <v>72</v>
      </c>
      <c r="Z7" s="5"/>
      <c r="AA7" s="5"/>
      <c r="AB7" s="5"/>
      <c r="AC7" s="5" t="s">
        <v>89</v>
      </c>
      <c r="AD7" s="11" t="s">
        <v>90</v>
      </c>
    </row>
    <row r="8" spans="1:41" ht="15" thickBot="1" x14ac:dyDescent="0.35">
      <c r="A8" s="17" t="s">
        <v>91</v>
      </c>
      <c r="B8" s="5"/>
      <c r="C8" s="5" t="s">
        <v>92</v>
      </c>
      <c r="D8" s="5" t="s">
        <v>93</v>
      </c>
      <c r="E8" s="5" t="s">
        <v>94</v>
      </c>
      <c r="F8" s="5" t="s">
        <v>95</v>
      </c>
      <c r="G8" s="5" t="s">
        <v>96</v>
      </c>
      <c r="H8" s="5">
        <v>58.079140000000002</v>
      </c>
      <c r="I8" s="5">
        <v>329.22</v>
      </c>
      <c r="J8" s="5">
        <v>178.5</v>
      </c>
      <c r="K8" s="2">
        <v>508.1</v>
      </c>
      <c r="L8" s="5">
        <v>4.6923999999999992</v>
      </c>
      <c r="M8" s="5">
        <v>4.7</v>
      </c>
      <c r="N8" s="5">
        <v>2.88</v>
      </c>
      <c r="O8" s="5">
        <v>0.30709999999999998</v>
      </c>
      <c r="P8" s="5"/>
      <c r="Q8" s="6"/>
      <c r="R8" s="5" t="s">
        <v>97</v>
      </c>
      <c r="S8" s="5">
        <v>178.5</v>
      </c>
      <c r="T8" s="5">
        <v>550</v>
      </c>
      <c r="U8" s="5">
        <v>700</v>
      </c>
      <c r="V8" s="5" t="s">
        <v>98</v>
      </c>
      <c r="W8" s="5" t="s">
        <v>99</v>
      </c>
      <c r="X8" s="5" t="s">
        <v>40</v>
      </c>
      <c r="Y8" s="5" t="s">
        <v>100</v>
      </c>
      <c r="Z8" s="5">
        <v>0.5</v>
      </c>
      <c r="AA8" s="5">
        <v>0</v>
      </c>
      <c r="AB8" s="5"/>
      <c r="AC8" s="5" t="s">
        <v>101</v>
      </c>
      <c r="AD8" s="11" t="s">
        <v>102</v>
      </c>
    </row>
    <row r="9" spans="1:41" ht="15" thickBot="1" x14ac:dyDescent="0.35">
      <c r="A9" s="17" t="s">
        <v>106</v>
      </c>
      <c r="B9" s="5"/>
      <c r="C9" s="5" t="s">
        <v>106</v>
      </c>
      <c r="D9" s="5" t="s">
        <v>106</v>
      </c>
      <c r="E9" s="5" t="s">
        <v>107</v>
      </c>
      <c r="F9" s="5" t="s">
        <v>108</v>
      </c>
      <c r="G9" s="5" t="s">
        <v>108</v>
      </c>
      <c r="H9" s="5">
        <v>78.111840000000001</v>
      </c>
      <c r="I9" s="5">
        <v>353.21899999999999</v>
      </c>
      <c r="J9" s="5">
        <v>278.67399999999998</v>
      </c>
      <c r="K9" s="2">
        <v>562.02</v>
      </c>
      <c r="L9" s="5">
        <v>4.9072769999999997</v>
      </c>
      <c r="M9" s="5">
        <v>3.9009999999999998</v>
      </c>
      <c r="N9" s="5">
        <v>0</v>
      </c>
      <c r="O9" s="5">
        <v>0.21099999999999999</v>
      </c>
      <c r="P9" s="5">
        <v>3301.43</v>
      </c>
      <c r="Q9" s="6">
        <v>82873.999999999563</v>
      </c>
      <c r="R9" s="5" t="s">
        <v>109</v>
      </c>
      <c r="S9" s="5">
        <v>278.67399999999998</v>
      </c>
      <c r="T9" s="5">
        <v>725</v>
      </c>
      <c r="U9" s="5">
        <v>500</v>
      </c>
      <c r="V9" s="5" t="s">
        <v>110</v>
      </c>
      <c r="W9" s="5" t="s">
        <v>111</v>
      </c>
      <c r="X9" s="5" t="s">
        <v>40</v>
      </c>
      <c r="Y9" s="5" t="s">
        <v>112</v>
      </c>
      <c r="Z9" s="5">
        <v>0</v>
      </c>
      <c r="AA9" s="5">
        <v>0</v>
      </c>
      <c r="AB9" s="5"/>
      <c r="AC9" s="5" t="s">
        <v>113</v>
      </c>
      <c r="AD9" s="11" t="s">
        <v>114</v>
      </c>
    </row>
    <row r="10" spans="1:41" ht="15" thickBot="1" x14ac:dyDescent="0.35">
      <c r="A10" s="17" t="s">
        <v>115</v>
      </c>
      <c r="B10" s="5"/>
      <c r="C10" s="5" t="s">
        <v>116</v>
      </c>
      <c r="D10" s="5" t="s">
        <v>117</v>
      </c>
      <c r="E10" s="5" t="s">
        <v>118</v>
      </c>
      <c r="F10" s="5" t="s">
        <v>119</v>
      </c>
      <c r="G10" s="5" t="s">
        <v>120</v>
      </c>
      <c r="H10" s="5">
        <v>58.122199999999999</v>
      </c>
      <c r="I10" s="5">
        <v>272.66000000000003</v>
      </c>
      <c r="J10" s="5">
        <v>134.89500000000001</v>
      </c>
      <c r="K10" s="2">
        <v>425.125</v>
      </c>
      <c r="L10" s="5">
        <v>3.7959999999999998</v>
      </c>
      <c r="M10" s="5">
        <v>3.9227696129999998</v>
      </c>
      <c r="N10" s="5">
        <v>0.05</v>
      </c>
      <c r="O10" s="5">
        <v>0.20100000000000001</v>
      </c>
      <c r="P10" s="5">
        <v>2877.4</v>
      </c>
      <c r="Q10" s="6">
        <v>-125793.99999999987</v>
      </c>
      <c r="R10" s="5" t="s">
        <v>121</v>
      </c>
      <c r="S10" s="5">
        <v>134.89500000000001</v>
      </c>
      <c r="T10" s="5">
        <v>575</v>
      </c>
      <c r="U10" s="5">
        <v>200</v>
      </c>
      <c r="V10" s="5" t="s">
        <v>122</v>
      </c>
      <c r="W10" s="5" t="s">
        <v>123</v>
      </c>
      <c r="X10" s="5" t="s">
        <v>103</v>
      </c>
      <c r="Y10" s="5" t="s">
        <v>124</v>
      </c>
      <c r="Z10" s="5">
        <v>4</v>
      </c>
      <c r="AA10" s="5"/>
      <c r="AB10" s="5" t="s">
        <v>125</v>
      </c>
      <c r="AC10" s="5" t="s">
        <v>126</v>
      </c>
      <c r="AD10" s="11" t="s">
        <v>127</v>
      </c>
    </row>
    <row r="11" spans="1:41" ht="15" thickBot="1" x14ac:dyDescent="0.35">
      <c r="A11" s="17" t="s">
        <v>128</v>
      </c>
      <c r="B11" s="5"/>
      <c r="C11" s="5" t="s">
        <v>129</v>
      </c>
      <c r="D11" s="5" t="s">
        <v>130</v>
      </c>
      <c r="E11" s="5" t="s">
        <v>131</v>
      </c>
      <c r="F11" s="5" t="s">
        <v>132</v>
      </c>
      <c r="G11" s="5" t="s">
        <v>133</v>
      </c>
      <c r="H11" s="5">
        <v>56.106319999999997</v>
      </c>
      <c r="I11" s="5">
        <v>266.83999999999997</v>
      </c>
      <c r="J11" s="5">
        <v>87.8</v>
      </c>
      <c r="K11" s="2">
        <v>419.29</v>
      </c>
      <c r="L11" s="5">
        <v>4.0050999999999997</v>
      </c>
      <c r="M11" s="5">
        <v>4.24</v>
      </c>
      <c r="N11" s="5">
        <v>0.33900000000000002</v>
      </c>
      <c r="O11" s="5">
        <v>0.192</v>
      </c>
      <c r="P11" s="5">
        <v>2716.82</v>
      </c>
      <c r="Q11" s="6">
        <v>-543.99999999986903</v>
      </c>
      <c r="R11" s="5" t="s">
        <v>37</v>
      </c>
      <c r="S11" s="5">
        <v>87.8</v>
      </c>
      <c r="T11" s="5">
        <v>525</v>
      </c>
      <c r="U11" s="5">
        <v>70</v>
      </c>
      <c r="V11" s="5" t="s">
        <v>134</v>
      </c>
      <c r="W11" s="5" t="s">
        <v>135</v>
      </c>
      <c r="X11" s="5" t="s">
        <v>40</v>
      </c>
      <c r="Y11" s="5" t="s">
        <v>136</v>
      </c>
      <c r="Z11" s="5"/>
      <c r="AA11" s="5"/>
      <c r="AB11" s="5"/>
      <c r="AC11" s="5" t="s">
        <v>137</v>
      </c>
      <c r="AD11" s="11" t="s">
        <v>138</v>
      </c>
    </row>
    <row r="12" spans="1:41" ht="15" thickBot="1" x14ac:dyDescent="0.35">
      <c r="A12" s="17" t="s">
        <v>149</v>
      </c>
      <c r="B12" s="5"/>
      <c r="C12" s="5" t="s">
        <v>150</v>
      </c>
      <c r="D12" s="5" t="s">
        <v>151</v>
      </c>
      <c r="E12" s="5" t="s">
        <v>152</v>
      </c>
      <c r="F12" s="5" t="s">
        <v>153</v>
      </c>
      <c r="G12" s="5" t="s">
        <v>133</v>
      </c>
      <c r="H12" s="5">
        <v>56.106319999999997</v>
      </c>
      <c r="I12" s="5">
        <v>276.87</v>
      </c>
      <c r="J12" s="5">
        <v>134.30000000000001</v>
      </c>
      <c r="K12" s="2">
        <v>435.75</v>
      </c>
      <c r="L12" s="5">
        <v>4.2255000000000003</v>
      </c>
      <c r="M12" s="5">
        <v>4.2439999999999998</v>
      </c>
      <c r="N12" s="5">
        <v>0.3</v>
      </c>
      <c r="O12" s="5">
        <v>0.20200000000000001</v>
      </c>
      <c r="P12" s="5">
        <v>2710.76</v>
      </c>
      <c r="Q12" s="6">
        <v>-6603.9999999998145</v>
      </c>
      <c r="R12" s="5" t="s">
        <v>37</v>
      </c>
      <c r="S12" s="5">
        <v>134.30000000000001</v>
      </c>
      <c r="T12" s="5">
        <v>525</v>
      </c>
      <c r="U12" s="5">
        <v>50</v>
      </c>
      <c r="V12" s="5" t="s">
        <v>154</v>
      </c>
      <c r="W12" s="5" t="s">
        <v>155</v>
      </c>
      <c r="X12" s="5" t="s">
        <v>40</v>
      </c>
      <c r="Y12" s="5" t="s">
        <v>136</v>
      </c>
      <c r="Z12" s="5"/>
      <c r="AA12" s="5"/>
      <c r="AB12" s="5"/>
      <c r="AC12" s="5" t="s">
        <v>156</v>
      </c>
      <c r="AD12" s="11" t="s">
        <v>157</v>
      </c>
    </row>
    <row r="13" spans="1:41" ht="15" thickBot="1" x14ac:dyDescent="0.35">
      <c r="A13" s="17" t="s">
        <v>158</v>
      </c>
      <c r="B13" s="4" t="s">
        <v>31</v>
      </c>
      <c r="C13" s="5" t="s">
        <v>159</v>
      </c>
      <c r="D13" s="5" t="s">
        <v>160</v>
      </c>
      <c r="E13" s="5" t="s">
        <v>161</v>
      </c>
      <c r="F13" s="5" t="s">
        <v>36</v>
      </c>
      <c r="G13" s="5" t="s">
        <v>36</v>
      </c>
      <c r="H13" s="5">
        <v>54.090440000000001</v>
      </c>
      <c r="I13" s="5">
        <v>275.73</v>
      </c>
      <c r="J13" s="5">
        <v>150</v>
      </c>
      <c r="K13" s="2">
        <v>448</v>
      </c>
      <c r="L13" s="5">
        <v>5.1494999999999997</v>
      </c>
      <c r="M13" s="5">
        <v>5.17</v>
      </c>
      <c r="N13" s="5">
        <v>0.13600000000000001</v>
      </c>
      <c r="O13" s="5">
        <v>0.16300000000000001</v>
      </c>
      <c r="P13" s="5">
        <v>2588.23</v>
      </c>
      <c r="Q13" s="6">
        <v>156695.99999999991</v>
      </c>
      <c r="R13" s="5" t="s">
        <v>97</v>
      </c>
      <c r="S13" s="5">
        <v>150</v>
      </c>
      <c r="T13" s="5">
        <v>448</v>
      </c>
      <c r="U13" s="5">
        <v>10</v>
      </c>
      <c r="V13" s="5" t="s">
        <v>162</v>
      </c>
      <c r="W13" s="5" t="s">
        <v>163</v>
      </c>
      <c r="X13" s="5" t="s">
        <v>40</v>
      </c>
      <c r="Y13" s="5"/>
      <c r="Z13" s="5"/>
      <c r="AA13" s="5"/>
      <c r="AB13" s="5"/>
      <c r="AC13" s="5" t="s">
        <v>164</v>
      </c>
      <c r="AD13" s="11" t="s">
        <v>165</v>
      </c>
    </row>
    <row r="14" spans="1:41" ht="15" thickBot="1" x14ac:dyDescent="0.35">
      <c r="A14" s="17" t="s">
        <v>166</v>
      </c>
      <c r="B14" s="5"/>
      <c r="C14" s="5" t="s">
        <v>166</v>
      </c>
      <c r="D14" s="5" t="s">
        <v>166</v>
      </c>
      <c r="E14" s="5" t="s">
        <v>167</v>
      </c>
      <c r="F14" s="5" t="s">
        <v>168</v>
      </c>
      <c r="G14" s="5" t="s">
        <v>169</v>
      </c>
      <c r="H14" s="5">
        <v>84.159480000000002</v>
      </c>
      <c r="I14" s="5">
        <v>353.86500000000001</v>
      </c>
      <c r="J14" s="5">
        <v>279.86</v>
      </c>
      <c r="K14" s="2">
        <v>553.6</v>
      </c>
      <c r="L14" s="5">
        <v>4.0804999999999998</v>
      </c>
      <c r="M14" s="5">
        <v>3.2240000000000002</v>
      </c>
      <c r="N14" s="5">
        <v>0.3</v>
      </c>
      <c r="O14" s="5">
        <v>0.20960000000000001</v>
      </c>
      <c r="P14" s="5">
        <v>3952.96</v>
      </c>
      <c r="Q14" s="6">
        <v>-123086.00000000023</v>
      </c>
      <c r="R14" s="5" t="s">
        <v>170</v>
      </c>
      <c r="S14" s="5">
        <v>279.86</v>
      </c>
      <c r="T14" s="5">
        <v>700</v>
      </c>
      <c r="U14" s="5">
        <v>250</v>
      </c>
      <c r="V14" s="5" t="s">
        <v>171</v>
      </c>
      <c r="W14" s="5" t="s">
        <v>172</v>
      </c>
      <c r="X14" s="5" t="s">
        <v>40</v>
      </c>
      <c r="Y14" s="5" t="s">
        <v>173</v>
      </c>
      <c r="Z14" s="5"/>
      <c r="AA14" s="5">
        <v>0</v>
      </c>
      <c r="AB14" s="5"/>
      <c r="AC14" s="5" t="s">
        <v>174</v>
      </c>
      <c r="AD14" s="11" t="s">
        <v>175</v>
      </c>
    </row>
    <row r="15" spans="1:41" ht="15" thickBot="1" x14ac:dyDescent="0.35">
      <c r="A15" s="17" t="s">
        <v>176</v>
      </c>
      <c r="B15" s="5"/>
      <c r="C15" s="5" t="s">
        <v>176</v>
      </c>
      <c r="D15" s="5" t="s">
        <v>58</v>
      </c>
      <c r="E15" s="5" t="s">
        <v>177</v>
      </c>
      <c r="F15" s="5" t="s">
        <v>58</v>
      </c>
      <c r="G15" s="5" t="s">
        <v>58</v>
      </c>
      <c r="H15" s="5">
        <v>70.132900000000006</v>
      </c>
      <c r="I15" s="5">
        <v>322.39999999999998</v>
      </c>
      <c r="J15" s="5">
        <v>179.7</v>
      </c>
      <c r="K15" s="2">
        <v>511.72</v>
      </c>
      <c r="L15" s="5">
        <v>4.5827999999999998</v>
      </c>
      <c r="M15" s="5">
        <v>3.92</v>
      </c>
      <c r="N15" s="5">
        <v>0</v>
      </c>
      <c r="O15" s="5">
        <v>0.20200000000000001</v>
      </c>
      <c r="P15" s="5">
        <v>3319.59</v>
      </c>
      <c r="Q15" s="6">
        <v>-77114.999999999782</v>
      </c>
      <c r="R15" s="5" t="s">
        <v>170</v>
      </c>
      <c r="S15" s="5">
        <v>179.7</v>
      </c>
      <c r="T15" s="5">
        <v>550</v>
      </c>
      <c r="U15" s="5">
        <v>250</v>
      </c>
      <c r="V15" s="5" t="s">
        <v>178</v>
      </c>
      <c r="W15" s="5" t="s">
        <v>179</v>
      </c>
      <c r="X15" s="5" t="s">
        <v>40</v>
      </c>
      <c r="Y15" s="5" t="s">
        <v>180</v>
      </c>
      <c r="Z15" s="5">
        <v>0</v>
      </c>
      <c r="AA15" s="5">
        <v>0</v>
      </c>
      <c r="AB15" s="5"/>
      <c r="AC15" s="5" t="s">
        <v>181</v>
      </c>
      <c r="AD15" s="11" t="s">
        <v>182</v>
      </c>
    </row>
    <row r="16" spans="1:41" ht="15" thickBot="1" x14ac:dyDescent="0.35">
      <c r="A16" s="17" t="s">
        <v>183</v>
      </c>
      <c r="B16" s="5"/>
      <c r="C16" s="5" t="s">
        <v>184</v>
      </c>
      <c r="D16" s="5" t="s">
        <v>183</v>
      </c>
      <c r="E16" s="5" t="s">
        <v>185</v>
      </c>
      <c r="F16" s="5" t="s">
        <v>186</v>
      </c>
      <c r="G16" s="5" t="s">
        <v>186</v>
      </c>
      <c r="H16" s="5">
        <v>296.61576000000002</v>
      </c>
      <c r="I16" s="5">
        <v>448.89100000000002</v>
      </c>
      <c r="J16" s="5">
        <v>290.25</v>
      </c>
      <c r="K16" s="2">
        <v>586.5</v>
      </c>
      <c r="L16" s="5">
        <v>1.3472</v>
      </c>
      <c r="M16" s="5">
        <v>1.0429999999999999</v>
      </c>
      <c r="N16" s="5">
        <v>1.0900000000000001</v>
      </c>
      <c r="O16" s="5">
        <v>0.59799999999999998</v>
      </c>
      <c r="P16" s="5"/>
      <c r="Q16" s="6"/>
      <c r="R16" s="5" t="s">
        <v>187</v>
      </c>
      <c r="S16" s="5">
        <v>290.25</v>
      </c>
      <c r="T16" s="5">
        <v>590</v>
      </c>
      <c r="U16" s="5">
        <v>180</v>
      </c>
      <c r="V16" s="5" t="s">
        <v>188</v>
      </c>
      <c r="W16" s="5" t="s">
        <v>189</v>
      </c>
      <c r="X16" s="5" t="s">
        <v>40</v>
      </c>
      <c r="Y16" s="5"/>
      <c r="Z16" s="5"/>
      <c r="AA16" s="5"/>
      <c r="AB16" s="5"/>
      <c r="AC16" s="5" t="s">
        <v>190</v>
      </c>
      <c r="AD16" s="11" t="s">
        <v>191</v>
      </c>
    </row>
    <row r="17" spans="1:30" ht="15" thickBot="1" x14ac:dyDescent="0.35">
      <c r="A17" s="17" t="s">
        <v>192</v>
      </c>
      <c r="B17" s="5"/>
      <c r="C17" s="5" t="s">
        <v>193</v>
      </c>
      <c r="D17" s="5" t="s">
        <v>192</v>
      </c>
      <c r="E17" s="5" t="s">
        <v>194</v>
      </c>
      <c r="F17" s="5" t="s">
        <v>195</v>
      </c>
      <c r="G17" s="5" t="s">
        <v>195</v>
      </c>
      <c r="H17" s="5">
        <v>370.7697</v>
      </c>
      <c r="I17" s="5">
        <v>484.06</v>
      </c>
      <c r="J17" s="5">
        <v>226</v>
      </c>
      <c r="K17" s="2">
        <v>618.29999999999995</v>
      </c>
      <c r="L17" s="5">
        <v>1.0934000000000001</v>
      </c>
      <c r="M17" s="5">
        <v>0.82</v>
      </c>
      <c r="N17" s="5">
        <v>1.349</v>
      </c>
      <c r="O17" s="5">
        <v>0.63700000000000001</v>
      </c>
      <c r="P17" s="5"/>
      <c r="Q17" s="6"/>
      <c r="R17" s="5" t="s">
        <v>187</v>
      </c>
      <c r="S17" s="5">
        <v>226</v>
      </c>
      <c r="T17" s="5">
        <v>630</v>
      </c>
      <c r="U17" s="5">
        <v>125</v>
      </c>
      <c r="V17" s="5" t="s">
        <v>196</v>
      </c>
      <c r="W17" s="5" t="s">
        <v>197</v>
      </c>
      <c r="X17" s="5" t="s">
        <v>40</v>
      </c>
      <c r="Y17" s="5"/>
      <c r="Z17" s="5"/>
      <c r="AA17" s="5"/>
      <c r="AB17" s="5"/>
      <c r="AC17" s="5" t="s">
        <v>198</v>
      </c>
      <c r="AD17" s="11" t="s">
        <v>199</v>
      </c>
    </row>
    <row r="18" spans="1:30" ht="15" thickBot="1" x14ac:dyDescent="0.35">
      <c r="A18" s="17" t="s">
        <v>200</v>
      </c>
      <c r="B18" s="5"/>
      <c r="C18" s="5" t="s">
        <v>201</v>
      </c>
      <c r="D18" s="5" t="s">
        <v>200</v>
      </c>
      <c r="E18" s="5" t="s">
        <v>202</v>
      </c>
      <c r="F18" s="5" t="s">
        <v>203</v>
      </c>
      <c r="G18" s="5" t="s">
        <v>203</v>
      </c>
      <c r="H18" s="5">
        <v>444.92399999999998</v>
      </c>
      <c r="I18" s="5">
        <v>518.11</v>
      </c>
      <c r="J18" s="5">
        <v>270.2</v>
      </c>
      <c r="K18" s="2">
        <v>645.78</v>
      </c>
      <c r="L18" s="5">
        <v>0.96099999999999997</v>
      </c>
      <c r="M18" s="5">
        <v>0.62728854779999998</v>
      </c>
      <c r="N18" s="5">
        <v>1.5589999999999999</v>
      </c>
      <c r="O18" s="5">
        <v>0.73599999999999999</v>
      </c>
      <c r="P18" s="5"/>
      <c r="Q18" s="6"/>
      <c r="R18" s="5" t="s">
        <v>187</v>
      </c>
      <c r="S18" s="5">
        <v>270.2</v>
      </c>
      <c r="T18" s="5">
        <v>673</v>
      </c>
      <c r="U18" s="5">
        <v>30</v>
      </c>
      <c r="V18" s="5" t="s">
        <v>204</v>
      </c>
      <c r="W18" s="5" t="s">
        <v>205</v>
      </c>
      <c r="X18" s="5" t="s">
        <v>40</v>
      </c>
      <c r="Y18" s="5"/>
      <c r="Z18" s="5"/>
      <c r="AA18" s="5"/>
      <c r="AB18" s="5"/>
      <c r="AC18" s="5" t="s">
        <v>206</v>
      </c>
      <c r="AD18" s="11" t="s">
        <v>207</v>
      </c>
    </row>
    <row r="19" spans="1:30" ht="15" thickBot="1" x14ac:dyDescent="0.35">
      <c r="A19" s="17" t="s">
        <v>208</v>
      </c>
      <c r="B19" s="4" t="s">
        <v>31</v>
      </c>
      <c r="C19" s="5" t="s">
        <v>209</v>
      </c>
      <c r="D19" s="5" t="s">
        <v>210</v>
      </c>
      <c r="E19" s="5" t="s">
        <v>211</v>
      </c>
      <c r="F19" s="5" t="s">
        <v>212</v>
      </c>
      <c r="G19" s="5" t="s">
        <v>213</v>
      </c>
      <c r="H19" s="5">
        <v>105.1356</v>
      </c>
      <c r="I19" s="5">
        <v>541.23400000000004</v>
      </c>
      <c r="J19" s="5">
        <v>301.10000000000002</v>
      </c>
      <c r="K19" s="2">
        <v>736.5</v>
      </c>
      <c r="L19" s="5">
        <v>4.9507500000000002</v>
      </c>
      <c r="M19" s="5">
        <v>3.3</v>
      </c>
      <c r="N19" s="5">
        <v>2.7899400000000001</v>
      </c>
      <c r="O19" s="5">
        <v>1.0129999999999999</v>
      </c>
      <c r="P19" s="5"/>
      <c r="Q19" s="5"/>
      <c r="R19" s="5" t="s">
        <v>97</v>
      </c>
      <c r="S19" s="5">
        <v>301.10000000000002</v>
      </c>
      <c r="T19" s="5">
        <v>740</v>
      </c>
      <c r="U19" s="5">
        <v>5</v>
      </c>
      <c r="V19" s="5" t="s">
        <v>214</v>
      </c>
      <c r="W19" s="5" t="s">
        <v>215</v>
      </c>
      <c r="X19" s="5" t="s">
        <v>40</v>
      </c>
      <c r="Y19" s="5" t="s">
        <v>216</v>
      </c>
      <c r="Z19" s="5"/>
      <c r="AA19" s="5"/>
      <c r="AB19" s="5"/>
      <c r="AC19" s="5" t="s">
        <v>217</v>
      </c>
      <c r="AD19" s="11" t="s">
        <v>218</v>
      </c>
    </row>
    <row r="20" spans="1:30" ht="15" thickBot="1" x14ac:dyDescent="0.35">
      <c r="A20" s="17" t="s">
        <v>219</v>
      </c>
      <c r="B20" s="5"/>
      <c r="C20" s="5" t="s">
        <v>219</v>
      </c>
      <c r="D20" s="5" t="s">
        <v>220</v>
      </c>
      <c r="E20" s="5" t="s">
        <v>221</v>
      </c>
      <c r="F20" s="5" t="s">
        <v>222</v>
      </c>
      <c r="G20" s="5" t="s">
        <v>223</v>
      </c>
      <c r="H20" s="5">
        <v>142.28167999999999</v>
      </c>
      <c r="I20" s="5">
        <v>447.27</v>
      </c>
      <c r="J20" s="5">
        <v>243.5</v>
      </c>
      <c r="K20" s="2">
        <v>617.70000000000005</v>
      </c>
      <c r="L20" s="5">
        <v>2.1030000000000002</v>
      </c>
      <c r="M20" s="5">
        <v>1.64</v>
      </c>
      <c r="N20" s="5">
        <v>7.0000000000000007E-2</v>
      </c>
      <c r="O20" s="5">
        <v>0.4884</v>
      </c>
      <c r="P20" s="5">
        <v>6829.77</v>
      </c>
      <c r="Q20" s="6">
        <v>-249469.99999999936</v>
      </c>
      <c r="R20" s="5" t="s">
        <v>121</v>
      </c>
      <c r="S20" s="5">
        <v>243.5</v>
      </c>
      <c r="T20" s="5">
        <v>675</v>
      </c>
      <c r="U20" s="5">
        <v>800</v>
      </c>
      <c r="V20" s="5" t="s">
        <v>224</v>
      </c>
      <c r="W20" s="5" t="s">
        <v>225</v>
      </c>
      <c r="X20" s="5" t="s">
        <v>40</v>
      </c>
      <c r="Y20" s="5" t="s">
        <v>226</v>
      </c>
      <c r="Z20" s="5"/>
      <c r="AA20" s="5"/>
      <c r="AB20" s="5"/>
      <c r="AC20" s="5" t="s">
        <v>227</v>
      </c>
      <c r="AD20" s="11" t="s">
        <v>228</v>
      </c>
    </row>
    <row r="21" spans="1:30" ht="15" thickBot="1" x14ac:dyDescent="0.35">
      <c r="A21" s="17" t="s">
        <v>239</v>
      </c>
      <c r="B21" s="5"/>
      <c r="C21" s="5" t="s">
        <v>239</v>
      </c>
      <c r="D21" s="5" t="s">
        <v>240</v>
      </c>
      <c r="E21" s="5" t="s">
        <v>241</v>
      </c>
      <c r="F21" s="5" t="s">
        <v>242</v>
      </c>
      <c r="G21" s="5" t="s">
        <v>242</v>
      </c>
      <c r="H21" s="5">
        <v>74.121600000000001</v>
      </c>
      <c r="I21" s="5">
        <v>307.60399999999998</v>
      </c>
      <c r="J21" s="5">
        <v>156.91999999999999</v>
      </c>
      <c r="K21" s="2">
        <v>466.7</v>
      </c>
      <c r="L21" s="5">
        <v>3.7201999999999997</v>
      </c>
      <c r="M21" s="5">
        <v>3.5617147999999998</v>
      </c>
      <c r="N21" s="5">
        <v>1.151</v>
      </c>
      <c r="O21" s="5">
        <v>0.28999999999999998</v>
      </c>
      <c r="P21" s="5"/>
      <c r="Q21" s="6"/>
      <c r="R21" s="5" t="s">
        <v>243</v>
      </c>
      <c r="S21" s="5">
        <v>270</v>
      </c>
      <c r="T21" s="5">
        <v>500</v>
      </c>
      <c r="U21" s="5">
        <v>40</v>
      </c>
      <c r="V21" s="5" t="s">
        <v>244</v>
      </c>
      <c r="W21" s="5" t="s">
        <v>245</v>
      </c>
      <c r="X21" s="5" t="s">
        <v>40</v>
      </c>
      <c r="Y21" s="5" t="s">
        <v>246</v>
      </c>
      <c r="Z21" s="5"/>
      <c r="AA21" s="5"/>
      <c r="AB21" s="5"/>
      <c r="AC21" s="5" t="s">
        <v>247</v>
      </c>
      <c r="AD21" s="11" t="s">
        <v>248</v>
      </c>
    </row>
    <row r="22" spans="1:30" ht="15" thickBot="1" x14ac:dyDescent="0.35">
      <c r="A22" s="17" t="s">
        <v>229</v>
      </c>
      <c r="B22" s="4" t="s">
        <v>31</v>
      </c>
      <c r="C22" s="5" t="s">
        <v>230</v>
      </c>
      <c r="D22" s="5" t="s">
        <v>231</v>
      </c>
      <c r="E22" s="5" t="s">
        <v>232</v>
      </c>
      <c r="F22" s="5" t="s">
        <v>233</v>
      </c>
      <c r="G22" s="5" t="s">
        <v>233</v>
      </c>
      <c r="H22" s="5">
        <v>98.959199999999996</v>
      </c>
      <c r="I22" s="5">
        <v>356.65</v>
      </c>
      <c r="J22" s="5">
        <v>237.52</v>
      </c>
      <c r="K22" s="2">
        <v>561.6</v>
      </c>
      <c r="L22" s="5">
        <v>5.2261199999999999</v>
      </c>
      <c r="M22" s="5">
        <v>4.33</v>
      </c>
      <c r="N22" s="5">
        <v>1.44</v>
      </c>
      <c r="O22" s="5">
        <v>0.26800000000000002</v>
      </c>
      <c r="P22" s="5"/>
      <c r="Q22" s="6"/>
      <c r="R22" s="5" t="s">
        <v>143</v>
      </c>
      <c r="S22" s="5">
        <v>237.52</v>
      </c>
      <c r="T22" s="5">
        <v>600</v>
      </c>
      <c r="U22" s="5">
        <v>100</v>
      </c>
      <c r="V22" s="5" t="s">
        <v>234</v>
      </c>
      <c r="W22" s="5" t="s">
        <v>235</v>
      </c>
      <c r="X22" s="5" t="s">
        <v>40</v>
      </c>
      <c r="Y22" s="5" t="s">
        <v>236</v>
      </c>
      <c r="Z22" s="5"/>
      <c r="AA22" s="5"/>
      <c r="AB22" s="5"/>
      <c r="AC22" s="5" t="s">
        <v>237</v>
      </c>
      <c r="AD22" s="11" t="s">
        <v>238</v>
      </c>
    </row>
    <row r="23" spans="1:30" ht="15" thickBot="1" x14ac:dyDescent="0.35">
      <c r="A23" s="17" t="s">
        <v>249</v>
      </c>
      <c r="B23" s="5"/>
      <c r="C23" s="5" t="s">
        <v>250</v>
      </c>
      <c r="D23" s="5" t="s">
        <v>251</v>
      </c>
      <c r="E23" s="5" t="s">
        <v>252</v>
      </c>
      <c r="F23" s="5" t="s">
        <v>253</v>
      </c>
      <c r="G23" s="5" t="s">
        <v>253</v>
      </c>
      <c r="H23" s="5">
        <v>90.0779</v>
      </c>
      <c r="I23" s="5">
        <v>363.25599999999997</v>
      </c>
      <c r="J23" s="5">
        <v>277.06</v>
      </c>
      <c r="K23" s="2">
        <v>557</v>
      </c>
      <c r="L23" s="5">
        <v>4.9088000000000003</v>
      </c>
      <c r="M23" s="5">
        <v>4</v>
      </c>
      <c r="N23" s="5">
        <v>0.89900000000000002</v>
      </c>
      <c r="O23" s="5">
        <v>0.34599999999999997</v>
      </c>
      <c r="P23" s="5"/>
      <c r="Q23" s="6"/>
      <c r="R23" s="5" t="s">
        <v>97</v>
      </c>
      <c r="S23" s="5">
        <v>277.06</v>
      </c>
      <c r="T23" s="5">
        <v>600</v>
      </c>
      <c r="U23" s="5">
        <v>60</v>
      </c>
      <c r="V23" s="5" t="s">
        <v>254</v>
      </c>
      <c r="W23" s="5" t="s">
        <v>255</v>
      </c>
      <c r="X23" s="5" t="s">
        <v>40</v>
      </c>
      <c r="Y23" s="5" t="s">
        <v>256</v>
      </c>
      <c r="Z23" s="5"/>
      <c r="AA23" s="5"/>
      <c r="AB23" s="5"/>
      <c r="AC23" s="5" t="s">
        <v>257</v>
      </c>
      <c r="AD23" s="11" t="s">
        <v>258</v>
      </c>
    </row>
    <row r="24" spans="1:30" ht="15" thickBot="1" x14ac:dyDescent="0.35">
      <c r="A24" s="17" t="s">
        <v>260</v>
      </c>
      <c r="B24" s="4" t="s">
        <v>31</v>
      </c>
      <c r="C24" s="5" t="s">
        <v>260</v>
      </c>
      <c r="D24" s="5" t="s">
        <v>261</v>
      </c>
      <c r="E24" s="5" t="s">
        <v>262</v>
      </c>
      <c r="F24" s="5" t="s">
        <v>263</v>
      </c>
      <c r="G24" s="5" t="s">
        <v>263</v>
      </c>
      <c r="H24" s="5">
        <v>310.601</v>
      </c>
      <c r="I24" s="5">
        <v>641.298</v>
      </c>
      <c r="J24" s="5">
        <v>317.04000000000002</v>
      </c>
      <c r="K24" s="2">
        <v>792.2</v>
      </c>
      <c r="L24" s="5">
        <v>1.1739999999999999</v>
      </c>
      <c r="M24" s="5">
        <v>0.72299999999999998</v>
      </c>
      <c r="N24" s="5">
        <v>0</v>
      </c>
      <c r="O24" s="5">
        <v>0.97799999999999998</v>
      </c>
      <c r="P24" s="5">
        <v>14734.332</v>
      </c>
      <c r="Q24" s="6">
        <v>-496999.99999999907</v>
      </c>
      <c r="R24" s="5" t="s">
        <v>121</v>
      </c>
      <c r="S24" s="5">
        <v>317.04000000000002</v>
      </c>
      <c r="T24" s="5">
        <v>1000</v>
      </c>
      <c r="U24" s="5">
        <v>500</v>
      </c>
      <c r="V24" s="5" t="s">
        <v>264</v>
      </c>
      <c r="W24" s="5" t="s">
        <v>265</v>
      </c>
      <c r="X24" s="5" t="s">
        <v>40</v>
      </c>
      <c r="Y24" s="5"/>
      <c r="Z24" s="5"/>
      <c r="AA24" s="5"/>
      <c r="AB24" s="5"/>
      <c r="AC24" s="5" t="s">
        <v>266</v>
      </c>
      <c r="AD24" s="11" t="s">
        <v>267</v>
      </c>
    </row>
    <row r="25" spans="1:30" ht="15" thickBot="1" x14ac:dyDescent="0.35">
      <c r="A25" s="17" t="s">
        <v>268</v>
      </c>
      <c r="B25" s="5"/>
      <c r="C25" s="5" t="s">
        <v>268</v>
      </c>
      <c r="D25" s="5" t="s">
        <v>269</v>
      </c>
      <c r="E25" s="5" t="s">
        <v>270</v>
      </c>
      <c r="F25" s="5" t="s">
        <v>271</v>
      </c>
      <c r="G25" s="5" t="s">
        <v>272</v>
      </c>
      <c r="H25" s="5">
        <v>170.33484000000001</v>
      </c>
      <c r="I25" s="5">
        <v>489.44200000000001</v>
      </c>
      <c r="J25" s="5">
        <v>263.60000000000002</v>
      </c>
      <c r="K25" s="2">
        <v>658.1</v>
      </c>
      <c r="L25" s="5">
        <v>1.8169999999999999</v>
      </c>
      <c r="M25" s="5">
        <v>1.33</v>
      </c>
      <c r="N25" s="5">
        <v>0</v>
      </c>
      <c r="O25" s="5">
        <v>0.57399999999999995</v>
      </c>
      <c r="P25" s="5">
        <v>8147.19</v>
      </c>
      <c r="Q25" s="6">
        <v>-290732.00000000087</v>
      </c>
      <c r="R25" s="5" t="s">
        <v>121</v>
      </c>
      <c r="S25" s="5">
        <v>263.60000000000002</v>
      </c>
      <c r="T25" s="5">
        <v>700</v>
      </c>
      <c r="U25" s="5">
        <v>700</v>
      </c>
      <c r="V25" s="5" t="s">
        <v>273</v>
      </c>
      <c r="W25" s="5" t="s">
        <v>274</v>
      </c>
      <c r="X25" s="5" t="s">
        <v>40</v>
      </c>
      <c r="Y25" s="5"/>
      <c r="Z25" s="5"/>
      <c r="AA25" s="5"/>
      <c r="AB25" s="5"/>
      <c r="AC25" s="5" t="s">
        <v>275</v>
      </c>
      <c r="AD25" s="11" t="s">
        <v>276</v>
      </c>
    </row>
    <row r="26" spans="1:30" ht="15" thickBot="1" x14ac:dyDescent="0.35">
      <c r="A26" s="17" t="s">
        <v>277</v>
      </c>
      <c r="B26" s="5"/>
      <c r="C26" s="5" t="s">
        <v>278</v>
      </c>
      <c r="D26" s="5" t="s">
        <v>279</v>
      </c>
      <c r="E26" s="5" t="s">
        <v>280</v>
      </c>
      <c r="F26" s="5" t="s">
        <v>259</v>
      </c>
      <c r="G26" s="5" t="s">
        <v>259</v>
      </c>
      <c r="H26" s="5">
        <v>46.068440000000002</v>
      </c>
      <c r="I26" s="5">
        <v>351.57</v>
      </c>
      <c r="J26" s="5">
        <v>159</v>
      </c>
      <c r="K26" s="2">
        <v>514.71</v>
      </c>
      <c r="L26" s="5">
        <v>6.2679999999999998</v>
      </c>
      <c r="M26" s="5">
        <v>5.93</v>
      </c>
      <c r="N26" s="5">
        <v>1.6909000000000001</v>
      </c>
      <c r="O26" s="5">
        <v>0.64600000000000002</v>
      </c>
      <c r="P26" s="5">
        <v>1382.761</v>
      </c>
      <c r="Q26" s="6"/>
      <c r="R26" s="5" t="s">
        <v>281</v>
      </c>
      <c r="S26" s="5">
        <v>159</v>
      </c>
      <c r="T26" s="5">
        <v>650</v>
      </c>
      <c r="U26" s="5">
        <v>280</v>
      </c>
      <c r="V26" s="5" t="s">
        <v>282</v>
      </c>
      <c r="W26" s="5" t="s">
        <v>283</v>
      </c>
      <c r="X26" s="5" t="s">
        <v>40</v>
      </c>
      <c r="Y26" s="5" t="s">
        <v>284</v>
      </c>
      <c r="Z26" s="5"/>
      <c r="AA26" s="5"/>
      <c r="AB26" s="5"/>
      <c r="AC26" s="5" t="s">
        <v>285</v>
      </c>
      <c r="AD26" s="11" t="s">
        <v>286</v>
      </c>
    </row>
    <row r="27" spans="1:30" ht="15" thickBot="1" x14ac:dyDescent="0.35">
      <c r="A27" s="17" t="s">
        <v>297</v>
      </c>
      <c r="B27" s="5"/>
      <c r="C27" s="5" t="s">
        <v>298</v>
      </c>
      <c r="D27" s="5" t="s">
        <v>299</v>
      </c>
      <c r="E27" s="5" t="s">
        <v>300</v>
      </c>
      <c r="F27" s="5" t="s">
        <v>301</v>
      </c>
      <c r="G27" s="5" t="s">
        <v>301</v>
      </c>
      <c r="H27" s="5">
        <v>106.16500000000001</v>
      </c>
      <c r="I27" s="5">
        <v>409.31400000000002</v>
      </c>
      <c r="J27" s="5">
        <v>178.2</v>
      </c>
      <c r="K27" s="2">
        <v>617.12</v>
      </c>
      <c r="L27" s="5">
        <v>3.6224000000000003</v>
      </c>
      <c r="M27" s="5">
        <v>2.7410160000000001</v>
      </c>
      <c r="N27" s="5">
        <v>0.6</v>
      </c>
      <c r="O27" s="5">
        <v>0.30499999999999999</v>
      </c>
      <c r="P27" s="5">
        <v>4607.1499999999996</v>
      </c>
      <c r="Q27" s="6">
        <v>29911.999999999578</v>
      </c>
      <c r="R27" s="5" t="s">
        <v>109</v>
      </c>
      <c r="S27" s="5">
        <v>178.2</v>
      </c>
      <c r="T27" s="5">
        <v>700</v>
      </c>
      <c r="U27" s="5">
        <v>60</v>
      </c>
      <c r="V27" s="5" t="s">
        <v>302</v>
      </c>
      <c r="W27" s="5" t="s">
        <v>303</v>
      </c>
      <c r="X27" s="5" t="s">
        <v>40</v>
      </c>
      <c r="Y27" s="5"/>
      <c r="Z27" s="5"/>
      <c r="AA27" s="5"/>
      <c r="AB27" s="5"/>
      <c r="AC27" s="5" t="s">
        <v>304</v>
      </c>
      <c r="AD27" s="11" t="s">
        <v>305</v>
      </c>
    </row>
    <row r="28" spans="1:30" ht="15" thickBot="1" x14ac:dyDescent="0.35">
      <c r="A28" s="17" t="s">
        <v>287</v>
      </c>
      <c r="B28" s="4" t="s">
        <v>31</v>
      </c>
      <c r="C28" s="5" t="s">
        <v>288</v>
      </c>
      <c r="D28" s="5" t="s">
        <v>289</v>
      </c>
      <c r="E28" s="5" t="s">
        <v>290</v>
      </c>
      <c r="F28" s="5" t="s">
        <v>291</v>
      </c>
      <c r="G28" s="5" t="s">
        <v>292</v>
      </c>
      <c r="H28" s="5">
        <v>62.067839999999997</v>
      </c>
      <c r="I28" s="5">
        <v>470.31299999999999</v>
      </c>
      <c r="J28" s="5">
        <v>260.60000000000002</v>
      </c>
      <c r="K28" s="2">
        <v>719</v>
      </c>
      <c r="L28" s="5">
        <v>10.508700000000001</v>
      </c>
      <c r="M28" s="5">
        <v>5.88</v>
      </c>
      <c r="N28" s="5">
        <v>2.41</v>
      </c>
      <c r="O28" s="5">
        <v>0.61899999999999999</v>
      </c>
      <c r="P28" s="5"/>
      <c r="Q28" s="6"/>
      <c r="R28" s="5" t="s">
        <v>97</v>
      </c>
      <c r="S28" s="5">
        <v>260.60000000000002</v>
      </c>
      <c r="T28" s="5">
        <v>750</v>
      </c>
      <c r="U28" s="5">
        <v>100</v>
      </c>
      <c r="V28" s="5" t="s">
        <v>293</v>
      </c>
      <c r="W28" s="5" t="s">
        <v>294</v>
      </c>
      <c r="X28" s="5" t="s">
        <v>40</v>
      </c>
      <c r="Y28" s="5" t="s">
        <v>216</v>
      </c>
      <c r="Z28" s="5"/>
      <c r="AA28" s="5"/>
      <c r="AB28" s="5"/>
      <c r="AC28" s="5" t="s">
        <v>295</v>
      </c>
      <c r="AD28" s="11" t="s">
        <v>296</v>
      </c>
    </row>
    <row r="29" spans="1:30" ht="15" thickBot="1" x14ac:dyDescent="0.35">
      <c r="A29" s="17" t="s">
        <v>306</v>
      </c>
      <c r="B29" s="4" t="s">
        <v>31</v>
      </c>
      <c r="C29" s="5" t="s">
        <v>306</v>
      </c>
      <c r="D29" s="5" t="s">
        <v>307</v>
      </c>
      <c r="E29" s="5" t="s">
        <v>308</v>
      </c>
      <c r="F29" s="5" t="s">
        <v>309</v>
      </c>
      <c r="G29" s="5" t="s">
        <v>309</v>
      </c>
      <c r="H29" s="5">
        <v>44.05256</v>
      </c>
      <c r="I29" s="5">
        <v>283.66000000000003</v>
      </c>
      <c r="J29" s="5">
        <v>160.654</v>
      </c>
      <c r="K29" s="2">
        <v>468.92</v>
      </c>
      <c r="L29" s="5">
        <v>7.3046999999999995</v>
      </c>
      <c r="M29" s="5">
        <v>7.17</v>
      </c>
      <c r="N29" s="5">
        <v>1.89</v>
      </c>
      <c r="O29" s="5">
        <v>0.21</v>
      </c>
      <c r="P29" s="5"/>
      <c r="Q29" s="6"/>
      <c r="R29" s="5" t="s">
        <v>97</v>
      </c>
      <c r="S29" s="5">
        <v>160.654</v>
      </c>
      <c r="T29" s="5">
        <v>500</v>
      </c>
      <c r="U29" s="5">
        <v>10</v>
      </c>
      <c r="V29" s="5" t="s">
        <v>310</v>
      </c>
      <c r="W29" s="5" t="s">
        <v>311</v>
      </c>
      <c r="X29" s="5" t="s">
        <v>40</v>
      </c>
      <c r="Y29" s="5" t="s">
        <v>312</v>
      </c>
      <c r="Z29" s="5"/>
      <c r="AA29" s="5"/>
      <c r="AB29" s="5"/>
      <c r="AC29" s="5" t="s">
        <v>313</v>
      </c>
      <c r="AD29" s="11" t="s">
        <v>314</v>
      </c>
    </row>
    <row r="30" spans="1:30" ht="15" thickBot="1" x14ac:dyDescent="0.35">
      <c r="A30" s="17" t="s">
        <v>315</v>
      </c>
      <c r="B30" s="5"/>
      <c r="C30" s="5" t="s">
        <v>316</v>
      </c>
      <c r="D30" s="5" t="s">
        <v>316</v>
      </c>
      <c r="E30" s="5" t="s">
        <v>317</v>
      </c>
      <c r="F30" s="5" t="s">
        <v>318</v>
      </c>
      <c r="G30" s="5" t="s">
        <v>318</v>
      </c>
      <c r="H30" s="5">
        <v>20.027508000000001</v>
      </c>
      <c r="I30" s="5">
        <v>374.54899999999998</v>
      </c>
      <c r="J30" s="5">
        <v>276.96899999999999</v>
      </c>
      <c r="K30" s="2">
        <v>643.84699999999998</v>
      </c>
      <c r="L30" s="5">
        <v>21.661799999999999</v>
      </c>
      <c r="M30" s="5">
        <v>17.775549999999999</v>
      </c>
      <c r="N30" s="5">
        <v>1.9</v>
      </c>
      <c r="O30" s="5">
        <v>0.36399999999999999</v>
      </c>
      <c r="P30" s="5"/>
      <c r="Q30" s="6"/>
      <c r="R30" s="5" t="s">
        <v>97</v>
      </c>
      <c r="S30" s="5">
        <v>254.41499999999999</v>
      </c>
      <c r="T30" s="5">
        <v>825</v>
      </c>
      <c r="U30" s="5">
        <v>1200</v>
      </c>
      <c r="V30" s="5" t="s">
        <v>319</v>
      </c>
      <c r="W30" s="5" t="s">
        <v>320</v>
      </c>
      <c r="X30" s="5" t="s">
        <v>104</v>
      </c>
      <c r="Y30" s="5"/>
      <c r="Z30" s="5"/>
      <c r="AA30" s="5"/>
      <c r="AB30" s="5"/>
      <c r="AC30" s="5" t="s">
        <v>321</v>
      </c>
      <c r="AD30" s="11" t="s">
        <v>322</v>
      </c>
    </row>
    <row r="31" spans="1:30" ht="15" thickBot="1" x14ac:dyDescent="0.35">
      <c r="A31" s="17" t="s">
        <v>323</v>
      </c>
      <c r="B31" s="5"/>
      <c r="C31" s="5" t="s">
        <v>323</v>
      </c>
      <c r="D31" s="5" t="s">
        <v>324</v>
      </c>
      <c r="E31" s="5" t="s">
        <v>325</v>
      </c>
      <c r="F31" s="5" t="s">
        <v>326</v>
      </c>
      <c r="G31" s="5" t="s">
        <v>327</v>
      </c>
      <c r="H31" s="5">
        <v>100.202</v>
      </c>
      <c r="I31" s="5">
        <v>371.55</v>
      </c>
      <c r="J31" s="5">
        <v>182.55</v>
      </c>
      <c r="K31" s="2">
        <v>540.20000000000005</v>
      </c>
      <c r="L31" s="5">
        <v>2.7357300000000002</v>
      </c>
      <c r="M31" s="5">
        <v>2.33</v>
      </c>
      <c r="N31" s="5">
        <v>7.0000000000000007E-2</v>
      </c>
      <c r="O31" s="5">
        <v>0.34899999999999998</v>
      </c>
      <c r="P31" s="5">
        <v>4853.43</v>
      </c>
      <c r="Q31" s="6">
        <v>-187786.9999999998</v>
      </c>
      <c r="R31" s="5" t="s">
        <v>121</v>
      </c>
      <c r="S31" s="5">
        <v>182.55</v>
      </c>
      <c r="T31" s="5">
        <v>600</v>
      </c>
      <c r="U31" s="5">
        <v>100</v>
      </c>
      <c r="V31" s="5" t="s">
        <v>328</v>
      </c>
      <c r="W31" s="5" t="s">
        <v>329</v>
      </c>
      <c r="X31" s="5" t="s">
        <v>40</v>
      </c>
      <c r="Y31" s="5" t="s">
        <v>330</v>
      </c>
      <c r="Z31" s="5"/>
      <c r="AA31" s="5"/>
      <c r="AB31" s="5"/>
      <c r="AC31" s="5" t="s">
        <v>331</v>
      </c>
      <c r="AD31" s="11" t="s">
        <v>332</v>
      </c>
    </row>
    <row r="32" spans="1:30" ht="15" thickBot="1" x14ac:dyDescent="0.35">
      <c r="A32" s="17" t="s">
        <v>333</v>
      </c>
      <c r="B32" s="4" t="s">
        <v>31</v>
      </c>
      <c r="C32" s="5" t="s">
        <v>333</v>
      </c>
      <c r="D32" s="5" t="s">
        <v>334</v>
      </c>
      <c r="E32" s="5" t="s">
        <v>335</v>
      </c>
      <c r="F32" s="5" t="s">
        <v>336</v>
      </c>
      <c r="G32" s="5" t="s">
        <v>336</v>
      </c>
      <c r="H32" s="5">
        <v>226.441</v>
      </c>
      <c r="I32" s="5">
        <v>559.90300000000002</v>
      </c>
      <c r="J32" s="5">
        <v>291.32900000000001</v>
      </c>
      <c r="K32" s="2">
        <v>722.1</v>
      </c>
      <c r="L32" s="5">
        <v>1.4798499999999999</v>
      </c>
      <c r="M32" s="5">
        <v>1</v>
      </c>
      <c r="N32" s="5">
        <v>0</v>
      </c>
      <c r="O32" s="5">
        <v>0.749</v>
      </c>
      <c r="P32" s="5">
        <v>10777.186</v>
      </c>
      <c r="Q32" s="6">
        <v>-378100.00000000035</v>
      </c>
      <c r="R32" s="5" t="s">
        <v>121</v>
      </c>
      <c r="S32" s="5">
        <v>291.32900000000001</v>
      </c>
      <c r="T32" s="5">
        <v>800</v>
      </c>
      <c r="U32" s="5">
        <v>50</v>
      </c>
      <c r="V32" s="5" t="s">
        <v>337</v>
      </c>
      <c r="W32" s="5" t="s">
        <v>338</v>
      </c>
      <c r="X32" s="5" t="s">
        <v>40</v>
      </c>
      <c r="Y32" s="5"/>
      <c r="Z32" s="5"/>
      <c r="AA32" s="5"/>
      <c r="AB32" s="5"/>
      <c r="AC32" s="5" t="s">
        <v>339</v>
      </c>
      <c r="AD32" s="11" t="s">
        <v>340</v>
      </c>
    </row>
    <row r="33" spans="1:30" ht="15" thickBot="1" x14ac:dyDescent="0.35">
      <c r="A33" s="17" t="s">
        <v>341</v>
      </c>
      <c r="B33" s="5"/>
      <c r="C33" s="5" t="s">
        <v>341</v>
      </c>
      <c r="D33" s="5" t="s">
        <v>342</v>
      </c>
      <c r="E33" s="5" t="s">
        <v>343</v>
      </c>
      <c r="F33" s="5" t="s">
        <v>344</v>
      </c>
      <c r="G33" s="5" t="s">
        <v>68</v>
      </c>
      <c r="H33" s="5">
        <v>86.175359999999998</v>
      </c>
      <c r="I33" s="5">
        <v>341.86599999999999</v>
      </c>
      <c r="J33" s="5">
        <v>177.83</v>
      </c>
      <c r="K33" s="2">
        <v>507.82</v>
      </c>
      <c r="L33" s="5">
        <v>3.0440999999999998</v>
      </c>
      <c r="M33" s="5">
        <v>2.706</v>
      </c>
      <c r="N33" s="5">
        <v>7.0000000000000007E-2</v>
      </c>
      <c r="O33" s="5">
        <v>0.3</v>
      </c>
      <c r="P33" s="5">
        <v>4194.95</v>
      </c>
      <c r="Q33" s="6">
        <v>-166926.00000000038</v>
      </c>
      <c r="R33" s="5" t="s">
        <v>121</v>
      </c>
      <c r="S33" s="5">
        <v>177.83</v>
      </c>
      <c r="T33" s="5">
        <v>600</v>
      </c>
      <c r="U33" s="5">
        <v>100</v>
      </c>
      <c r="V33" s="5" t="s">
        <v>345</v>
      </c>
      <c r="W33" s="5" t="s">
        <v>346</v>
      </c>
      <c r="X33" s="5" t="s">
        <v>40</v>
      </c>
      <c r="Y33" s="5" t="s">
        <v>347</v>
      </c>
      <c r="Z33" s="5"/>
      <c r="AA33" s="5"/>
      <c r="AB33" s="5"/>
      <c r="AC33" s="5" t="s">
        <v>348</v>
      </c>
      <c r="AD33" s="11" t="s">
        <v>349</v>
      </c>
    </row>
    <row r="34" spans="1:30" ht="15" thickBot="1" x14ac:dyDescent="0.35">
      <c r="A34" s="17" t="s">
        <v>139</v>
      </c>
      <c r="B34" s="4" t="s">
        <v>31</v>
      </c>
      <c r="C34" s="5" t="s">
        <v>139</v>
      </c>
      <c r="D34" s="5" t="s">
        <v>140</v>
      </c>
      <c r="E34" s="5" t="s">
        <v>141</v>
      </c>
      <c r="F34" s="5" t="s">
        <v>142</v>
      </c>
      <c r="G34" s="5" t="s">
        <v>142</v>
      </c>
      <c r="H34" s="5">
        <v>112.557</v>
      </c>
      <c r="I34" s="5">
        <v>405.21</v>
      </c>
      <c r="J34" s="5">
        <v>227.9</v>
      </c>
      <c r="K34" s="2">
        <v>632.35</v>
      </c>
      <c r="L34" s="5">
        <v>4.5206</v>
      </c>
      <c r="M34" s="5">
        <v>3.24</v>
      </c>
      <c r="N34" s="5">
        <v>1.69</v>
      </c>
      <c r="O34" s="5">
        <v>0.25319999999999998</v>
      </c>
      <c r="P34" s="5"/>
      <c r="Q34" s="6"/>
      <c r="R34" s="5" t="s">
        <v>143</v>
      </c>
      <c r="S34" s="5">
        <v>227.9</v>
      </c>
      <c r="T34" s="5">
        <v>700</v>
      </c>
      <c r="U34" s="5">
        <v>100</v>
      </c>
      <c r="V34" s="5" t="s">
        <v>144</v>
      </c>
      <c r="W34" s="5" t="s">
        <v>145</v>
      </c>
      <c r="X34" s="5" t="s">
        <v>40</v>
      </c>
      <c r="Y34" s="5" t="s">
        <v>146</v>
      </c>
      <c r="Z34" s="5"/>
      <c r="AA34" s="5"/>
      <c r="AB34" s="5"/>
      <c r="AC34" s="5" t="s">
        <v>147</v>
      </c>
      <c r="AD34" s="11" t="s">
        <v>148</v>
      </c>
    </row>
    <row r="35" spans="1:30" ht="15" thickBot="1" x14ac:dyDescent="0.35">
      <c r="A35" s="17" t="s">
        <v>350</v>
      </c>
      <c r="B35" s="5"/>
      <c r="C35" s="5" t="s">
        <v>351</v>
      </c>
      <c r="D35" s="5" t="s">
        <v>352</v>
      </c>
      <c r="E35" s="5" t="s">
        <v>353</v>
      </c>
      <c r="F35" s="5" t="s">
        <v>354</v>
      </c>
      <c r="G35" s="5" t="s">
        <v>133</v>
      </c>
      <c r="H35" s="5">
        <v>56.106319999999997</v>
      </c>
      <c r="I35" s="5">
        <v>266.14999999999998</v>
      </c>
      <c r="J35" s="5">
        <v>132.4</v>
      </c>
      <c r="K35" s="2">
        <v>418.09</v>
      </c>
      <c r="L35" s="5">
        <v>4.0098000000000003</v>
      </c>
      <c r="M35" s="5">
        <v>4.17</v>
      </c>
      <c r="N35" s="5">
        <v>0.5</v>
      </c>
      <c r="O35" s="5">
        <v>0.193</v>
      </c>
      <c r="P35" s="5">
        <v>2701.96</v>
      </c>
      <c r="Q35" s="6">
        <v>-15403.999999999996</v>
      </c>
      <c r="R35" s="5" t="s">
        <v>355</v>
      </c>
      <c r="S35" s="5">
        <v>132.4</v>
      </c>
      <c r="T35" s="5">
        <v>550</v>
      </c>
      <c r="U35" s="5">
        <v>50</v>
      </c>
      <c r="V35" s="5" t="s">
        <v>356</v>
      </c>
      <c r="W35" s="5" t="s">
        <v>357</v>
      </c>
      <c r="X35" s="5" t="s">
        <v>40</v>
      </c>
      <c r="Y35" s="5" t="s">
        <v>358</v>
      </c>
      <c r="Z35" s="5"/>
      <c r="AA35" s="5"/>
      <c r="AB35" s="5"/>
      <c r="AC35" s="5" t="s">
        <v>359</v>
      </c>
      <c r="AD35" s="11" t="s">
        <v>360</v>
      </c>
    </row>
    <row r="36" spans="1:30" ht="15" thickBot="1" x14ac:dyDescent="0.35">
      <c r="A36" s="17" t="s">
        <v>361</v>
      </c>
      <c r="B36" s="5"/>
      <c r="C36" s="5" t="s">
        <v>362</v>
      </c>
      <c r="D36" s="5" t="s">
        <v>363</v>
      </c>
      <c r="E36" s="5" t="s">
        <v>364</v>
      </c>
      <c r="F36" s="5" t="s">
        <v>365</v>
      </c>
      <c r="G36" s="5" t="s">
        <v>68</v>
      </c>
      <c r="H36" s="5">
        <v>86.175359999999998</v>
      </c>
      <c r="I36" s="5">
        <v>333.36</v>
      </c>
      <c r="J36" s="5">
        <v>119.6</v>
      </c>
      <c r="K36" s="2">
        <v>497.7</v>
      </c>
      <c r="L36" s="5">
        <v>3.04</v>
      </c>
      <c r="M36" s="5">
        <v>2.7149999999999999</v>
      </c>
      <c r="N36" s="5">
        <v>0</v>
      </c>
      <c r="O36" s="5">
        <v>0.2797</v>
      </c>
      <c r="P36" s="5">
        <v>4187.32</v>
      </c>
      <c r="Q36" s="6">
        <v>-174556.00000000049</v>
      </c>
      <c r="R36" s="5" t="s">
        <v>69</v>
      </c>
      <c r="S36" s="5">
        <v>119.6</v>
      </c>
      <c r="T36" s="5">
        <v>550</v>
      </c>
      <c r="U36" s="5">
        <v>1000</v>
      </c>
      <c r="V36" s="5" t="s">
        <v>366</v>
      </c>
      <c r="W36" s="5" t="s">
        <v>367</v>
      </c>
      <c r="X36" s="5" t="s">
        <v>40</v>
      </c>
      <c r="Y36" s="5" t="s">
        <v>347</v>
      </c>
      <c r="Z36" s="5"/>
      <c r="AA36" s="5"/>
      <c r="AB36" s="5"/>
      <c r="AC36" s="5" t="s">
        <v>368</v>
      </c>
      <c r="AD36" s="11" t="s">
        <v>369</v>
      </c>
    </row>
    <row r="37" spans="1:30" ht="15" thickBot="1" x14ac:dyDescent="0.35">
      <c r="A37" s="17" t="s">
        <v>370</v>
      </c>
      <c r="B37" s="5"/>
      <c r="C37" s="5" t="s">
        <v>371</v>
      </c>
      <c r="D37" s="5" t="s">
        <v>372</v>
      </c>
      <c r="E37" s="5" t="s">
        <v>373</v>
      </c>
      <c r="F37" s="5" t="s">
        <v>374</v>
      </c>
      <c r="G37" s="5" t="s">
        <v>375</v>
      </c>
      <c r="H37" s="5">
        <v>114.22852</v>
      </c>
      <c r="I37" s="5">
        <v>372.358</v>
      </c>
      <c r="J37" s="5">
        <v>165.77</v>
      </c>
      <c r="K37" s="2">
        <v>544</v>
      </c>
      <c r="L37" s="5">
        <v>2.5720000000000001</v>
      </c>
      <c r="M37" s="5">
        <v>2.12</v>
      </c>
      <c r="N37" s="5">
        <v>0</v>
      </c>
      <c r="O37" s="5">
        <v>0.30299999999999999</v>
      </c>
      <c r="P37" s="5">
        <v>5496.6580000000004</v>
      </c>
      <c r="Q37" s="6">
        <v>-223899.99999999965</v>
      </c>
      <c r="R37" s="5" t="s">
        <v>69</v>
      </c>
      <c r="S37" s="5">
        <v>165.77</v>
      </c>
      <c r="T37" s="5">
        <v>600</v>
      </c>
      <c r="U37" s="5">
        <v>1000</v>
      </c>
      <c r="V37" s="5" t="s">
        <v>376</v>
      </c>
      <c r="W37" s="5" t="s">
        <v>377</v>
      </c>
      <c r="X37" s="5" t="s">
        <v>40</v>
      </c>
      <c r="Y37" s="5" t="s">
        <v>378</v>
      </c>
      <c r="Z37" s="5"/>
      <c r="AA37" s="5"/>
      <c r="AB37" s="5"/>
      <c r="AC37" s="5" t="s">
        <v>379</v>
      </c>
      <c r="AD37" s="11" t="s">
        <v>380</v>
      </c>
    </row>
    <row r="38" spans="1:30" ht="15" thickBot="1" x14ac:dyDescent="0.35">
      <c r="A38" s="17" t="s">
        <v>381</v>
      </c>
      <c r="B38" s="5"/>
      <c r="C38" s="5" t="s">
        <v>382</v>
      </c>
      <c r="D38" s="5" t="s">
        <v>383</v>
      </c>
      <c r="E38" s="5" t="s">
        <v>384</v>
      </c>
      <c r="F38" s="5" t="s">
        <v>385</v>
      </c>
      <c r="G38" s="5" t="s">
        <v>386</v>
      </c>
      <c r="H38" s="5">
        <v>72.148780000000002</v>
      </c>
      <c r="I38" s="5">
        <v>300.98</v>
      </c>
      <c r="J38" s="5">
        <v>112.65</v>
      </c>
      <c r="K38" s="2">
        <v>460.35</v>
      </c>
      <c r="L38" s="5">
        <v>3.3780000000000001</v>
      </c>
      <c r="M38" s="5">
        <v>3.2709999999999999</v>
      </c>
      <c r="N38" s="5">
        <v>0.11</v>
      </c>
      <c r="O38" s="5">
        <v>0.22739999999999999</v>
      </c>
      <c r="P38" s="5">
        <v>3528.83</v>
      </c>
      <c r="Q38" s="6">
        <v>-153705.00000000015</v>
      </c>
      <c r="R38" s="5" t="s">
        <v>69</v>
      </c>
      <c r="S38" s="5">
        <v>112.65</v>
      </c>
      <c r="T38" s="5">
        <v>500</v>
      </c>
      <c r="U38" s="5">
        <v>1000</v>
      </c>
      <c r="V38" s="5" t="s">
        <v>387</v>
      </c>
      <c r="W38" s="5" t="s">
        <v>388</v>
      </c>
      <c r="X38" s="5" t="s">
        <v>40</v>
      </c>
      <c r="Y38" s="5" t="s">
        <v>389</v>
      </c>
      <c r="Z38" s="5"/>
      <c r="AA38" s="5"/>
      <c r="AB38" s="5" t="s">
        <v>125</v>
      </c>
      <c r="AC38" s="5" t="s">
        <v>390</v>
      </c>
      <c r="AD38" s="11" t="s">
        <v>391</v>
      </c>
    </row>
    <row r="39" spans="1:30" ht="15" thickBot="1" x14ac:dyDescent="0.35">
      <c r="A39" s="17" t="s">
        <v>392</v>
      </c>
      <c r="B39" s="5"/>
      <c r="C39" s="5" t="s">
        <v>393</v>
      </c>
      <c r="D39" s="5" t="s">
        <v>392</v>
      </c>
      <c r="E39" s="5" t="s">
        <v>394</v>
      </c>
      <c r="F39" s="5" t="s">
        <v>395</v>
      </c>
      <c r="G39" s="5" t="s">
        <v>395</v>
      </c>
      <c r="H39" s="5">
        <v>310.68540000000002</v>
      </c>
      <c r="I39" s="5">
        <v>467.59</v>
      </c>
      <c r="J39" s="5">
        <v>205.2</v>
      </c>
      <c r="K39" s="2">
        <v>599.4</v>
      </c>
      <c r="L39" s="5">
        <v>1.1439999999999999</v>
      </c>
      <c r="M39" s="5">
        <v>0.86399999999999999</v>
      </c>
      <c r="N39" s="5">
        <v>1.1200000000000001</v>
      </c>
      <c r="O39" s="5">
        <v>0.63500000000000001</v>
      </c>
      <c r="P39" s="5"/>
      <c r="Q39" s="6"/>
      <c r="R39" s="5" t="s">
        <v>187</v>
      </c>
      <c r="S39" s="5">
        <v>205.2</v>
      </c>
      <c r="T39" s="5">
        <v>600</v>
      </c>
      <c r="U39" s="5">
        <v>130</v>
      </c>
      <c r="V39" s="5" t="s">
        <v>396</v>
      </c>
      <c r="W39" s="5" t="s">
        <v>397</v>
      </c>
      <c r="X39" s="5" t="s">
        <v>40</v>
      </c>
      <c r="Y39" s="5"/>
      <c r="Z39" s="5"/>
      <c r="AA39" s="5"/>
      <c r="AB39" s="5"/>
      <c r="AC39" s="5" t="s">
        <v>398</v>
      </c>
      <c r="AD39" s="11" t="s">
        <v>399</v>
      </c>
    </row>
    <row r="40" spans="1:30" ht="15" thickBot="1" x14ac:dyDescent="0.35">
      <c r="A40" s="17" t="s">
        <v>400</v>
      </c>
      <c r="B40" s="5"/>
      <c r="C40" s="5" t="s">
        <v>401</v>
      </c>
      <c r="D40" s="5" t="s">
        <v>400</v>
      </c>
      <c r="E40" s="5" t="s">
        <v>402</v>
      </c>
      <c r="F40" s="5" t="s">
        <v>403</v>
      </c>
      <c r="G40" s="5" t="s">
        <v>403</v>
      </c>
      <c r="H40" s="5">
        <v>384.839</v>
      </c>
      <c r="I40" s="5">
        <v>503.03199999999998</v>
      </c>
      <c r="J40" s="5">
        <v>192</v>
      </c>
      <c r="K40" s="2">
        <v>628.96</v>
      </c>
      <c r="L40" s="5">
        <v>0.96111999999999997</v>
      </c>
      <c r="M40" s="5">
        <v>0.7</v>
      </c>
      <c r="N40" s="5">
        <v>1.2230000000000001</v>
      </c>
      <c r="O40" s="5">
        <v>0.72299999999999998</v>
      </c>
      <c r="P40" s="5"/>
      <c r="Q40" s="6"/>
      <c r="R40" s="5" t="s">
        <v>187</v>
      </c>
      <c r="S40" s="5">
        <v>192</v>
      </c>
      <c r="T40" s="5">
        <v>630</v>
      </c>
      <c r="U40" s="5">
        <v>125</v>
      </c>
      <c r="V40" s="5" t="s">
        <v>404</v>
      </c>
      <c r="W40" s="5" t="s">
        <v>405</v>
      </c>
      <c r="X40" s="5" t="s">
        <v>40</v>
      </c>
      <c r="Y40" s="5"/>
      <c r="Z40" s="5"/>
      <c r="AA40" s="5"/>
      <c r="AB40" s="5"/>
      <c r="AC40" s="5" t="s">
        <v>406</v>
      </c>
      <c r="AD40" s="11" t="s">
        <v>407</v>
      </c>
    </row>
    <row r="41" spans="1:30" ht="15" thickBot="1" x14ac:dyDescent="0.35">
      <c r="A41" s="17" t="s">
        <v>408</v>
      </c>
      <c r="B41" s="5"/>
      <c r="C41" s="5" t="s">
        <v>409</v>
      </c>
      <c r="D41" s="5" t="s">
        <v>408</v>
      </c>
      <c r="E41" s="5" t="s">
        <v>410</v>
      </c>
      <c r="F41" s="5" t="s">
        <v>411</v>
      </c>
      <c r="G41" s="5" t="s">
        <v>411</v>
      </c>
      <c r="H41" s="5">
        <v>458.99328000000003</v>
      </c>
      <c r="I41" s="5">
        <v>532.90499999999997</v>
      </c>
      <c r="J41" s="5">
        <v>214.15</v>
      </c>
      <c r="K41" s="2">
        <v>653.20000000000005</v>
      </c>
      <c r="L41" s="5">
        <v>0.84036999999999995</v>
      </c>
      <c r="M41" s="5">
        <v>0.56999999999999995</v>
      </c>
      <c r="N41" s="5">
        <v>1.3080000000000001</v>
      </c>
      <c r="O41" s="5">
        <v>0.80600000000000005</v>
      </c>
      <c r="P41" s="5"/>
      <c r="Q41" s="6"/>
      <c r="R41" s="5" t="s">
        <v>187</v>
      </c>
      <c r="S41" s="5">
        <v>214.15</v>
      </c>
      <c r="T41" s="5">
        <v>655</v>
      </c>
      <c r="U41" s="5">
        <v>125</v>
      </c>
      <c r="V41" s="5" t="s">
        <v>412</v>
      </c>
      <c r="W41" s="5" t="s">
        <v>413</v>
      </c>
      <c r="X41" s="5" t="s">
        <v>40</v>
      </c>
      <c r="Y41" s="5"/>
      <c r="Z41" s="5"/>
      <c r="AA41" s="5"/>
      <c r="AB41" s="5"/>
      <c r="AC41" s="5" t="s">
        <v>414</v>
      </c>
      <c r="AD41" s="11" t="s">
        <v>415</v>
      </c>
    </row>
    <row r="42" spans="1:30" ht="15" thickBot="1" x14ac:dyDescent="0.35">
      <c r="A42" s="17" t="s">
        <v>416</v>
      </c>
      <c r="B42" s="5"/>
      <c r="C42" s="5" t="s">
        <v>417</v>
      </c>
      <c r="D42" s="5" t="s">
        <v>416</v>
      </c>
      <c r="E42" s="5" t="s">
        <v>418</v>
      </c>
      <c r="F42" s="5" t="s">
        <v>419</v>
      </c>
      <c r="G42" s="5" t="s">
        <v>419</v>
      </c>
      <c r="H42" s="5">
        <v>236.53146000000001</v>
      </c>
      <c r="I42" s="5">
        <v>425.63</v>
      </c>
      <c r="J42" s="5">
        <v>187.2</v>
      </c>
      <c r="K42" s="2">
        <v>565.36090000000002</v>
      </c>
      <c r="L42" s="5">
        <v>1.4375</v>
      </c>
      <c r="M42" s="5">
        <v>1.1339999999999999</v>
      </c>
      <c r="N42" s="5">
        <v>0.99</v>
      </c>
      <c r="O42" s="5">
        <v>0.52400000000000002</v>
      </c>
      <c r="P42" s="5"/>
      <c r="Q42" s="6"/>
      <c r="R42" s="5" t="s">
        <v>187</v>
      </c>
      <c r="S42" s="5">
        <v>187.2</v>
      </c>
      <c r="T42" s="5">
        <v>570</v>
      </c>
      <c r="U42" s="5">
        <v>130</v>
      </c>
      <c r="V42" s="5" t="s">
        <v>420</v>
      </c>
      <c r="W42" s="5" t="s">
        <v>421</v>
      </c>
      <c r="X42" s="5" t="s">
        <v>40</v>
      </c>
      <c r="Y42" s="5"/>
      <c r="Z42" s="5"/>
      <c r="AA42" s="5"/>
      <c r="AB42" s="5"/>
      <c r="AC42" s="5" t="s">
        <v>422</v>
      </c>
      <c r="AD42" s="11" t="s">
        <v>423</v>
      </c>
    </row>
    <row r="43" spans="1:30" ht="15" thickBot="1" x14ac:dyDescent="0.35">
      <c r="A43" s="17" t="s">
        <v>424</v>
      </c>
      <c r="B43" s="4" t="s">
        <v>31</v>
      </c>
      <c r="C43" s="5" t="s">
        <v>425</v>
      </c>
      <c r="D43" s="5" t="s">
        <v>426</v>
      </c>
      <c r="E43" s="5" t="s">
        <v>427</v>
      </c>
      <c r="F43" s="5" t="s">
        <v>428</v>
      </c>
      <c r="G43" s="5" t="s">
        <v>429</v>
      </c>
      <c r="H43" s="5">
        <v>61.083100000000002</v>
      </c>
      <c r="I43" s="5">
        <v>443.56400000000002</v>
      </c>
      <c r="J43" s="5">
        <v>283.7</v>
      </c>
      <c r="K43" s="2">
        <v>671.4</v>
      </c>
      <c r="L43" s="5">
        <v>8.125</v>
      </c>
      <c r="M43" s="5">
        <v>5.39</v>
      </c>
      <c r="N43" s="5">
        <v>2.36992</v>
      </c>
      <c r="O43" s="5">
        <v>0.57299999999999995</v>
      </c>
      <c r="P43" s="5"/>
      <c r="Q43" s="6"/>
      <c r="R43" s="5" t="s">
        <v>97</v>
      </c>
      <c r="S43" s="5">
        <v>283.7</v>
      </c>
      <c r="T43" s="5">
        <v>675</v>
      </c>
      <c r="U43" s="5">
        <v>9</v>
      </c>
      <c r="V43" s="5" t="s">
        <v>430</v>
      </c>
      <c r="W43" s="5" t="s">
        <v>431</v>
      </c>
      <c r="X43" s="5" t="s">
        <v>40</v>
      </c>
      <c r="Y43" s="5" t="s">
        <v>432</v>
      </c>
      <c r="Z43" s="5"/>
      <c r="AA43" s="5"/>
      <c r="AB43" s="5"/>
      <c r="AC43" s="5" t="s">
        <v>433</v>
      </c>
      <c r="AD43" s="11" t="s">
        <v>434</v>
      </c>
    </row>
    <row r="44" spans="1:30" ht="15" thickBot="1" x14ac:dyDescent="0.35">
      <c r="A44" s="17" t="s">
        <v>435</v>
      </c>
      <c r="B44" s="5"/>
      <c r="C44" s="5" t="s">
        <v>435</v>
      </c>
      <c r="D44" s="5" t="s">
        <v>436</v>
      </c>
      <c r="E44" s="5" t="s">
        <v>437</v>
      </c>
      <c r="F44" s="5" t="s">
        <v>438</v>
      </c>
      <c r="G44" s="5" t="s">
        <v>439</v>
      </c>
      <c r="H44" s="5">
        <v>32.042160000000003</v>
      </c>
      <c r="I44" s="5">
        <v>337.63200000000001</v>
      </c>
      <c r="J44" s="5">
        <v>175.61</v>
      </c>
      <c r="K44" s="2">
        <v>513.38</v>
      </c>
      <c r="L44" s="5">
        <v>8.2158499999999997</v>
      </c>
      <c r="M44" s="5">
        <v>8.7851700000000008</v>
      </c>
      <c r="N44" s="5">
        <v>1.7</v>
      </c>
      <c r="O44" s="5">
        <v>0.5625</v>
      </c>
      <c r="P44" s="5">
        <v>764.09</v>
      </c>
      <c r="Q44" s="6"/>
      <c r="R44" s="5" t="s">
        <v>281</v>
      </c>
      <c r="S44" s="5">
        <v>175.61</v>
      </c>
      <c r="T44" s="5">
        <v>620</v>
      </c>
      <c r="U44" s="5">
        <v>800</v>
      </c>
      <c r="V44" s="5" t="s">
        <v>440</v>
      </c>
      <c r="W44" s="5" t="s">
        <v>441</v>
      </c>
      <c r="X44" s="5" t="s">
        <v>40</v>
      </c>
      <c r="Y44" s="5" t="s">
        <v>442</v>
      </c>
      <c r="Z44" s="5">
        <v>2.8</v>
      </c>
      <c r="AA44" s="5"/>
      <c r="AB44" s="5"/>
      <c r="AC44" s="5" t="s">
        <v>443</v>
      </c>
      <c r="AD44" s="11" t="s">
        <v>444</v>
      </c>
    </row>
    <row r="45" spans="1:30" ht="15" thickBot="1" x14ac:dyDescent="0.35">
      <c r="A45" s="17" t="s">
        <v>445</v>
      </c>
      <c r="B45" s="5"/>
      <c r="C45" s="5" t="s">
        <v>446</v>
      </c>
      <c r="D45" s="5" t="s">
        <v>447</v>
      </c>
      <c r="E45" s="5" t="s">
        <v>448</v>
      </c>
      <c r="F45" s="5" t="s">
        <v>449</v>
      </c>
      <c r="G45" s="5" t="s">
        <v>449</v>
      </c>
      <c r="H45" s="5">
        <v>294.47206</v>
      </c>
      <c r="I45" s="5">
        <v>628.84</v>
      </c>
      <c r="J45" s="5">
        <v>238.1</v>
      </c>
      <c r="K45" s="2">
        <v>799</v>
      </c>
      <c r="L45" s="5">
        <v>1.341</v>
      </c>
      <c r="M45" s="5">
        <v>0.80840000000000001</v>
      </c>
      <c r="N45" s="5">
        <v>1.79</v>
      </c>
      <c r="O45" s="5">
        <v>0.80500000000000005</v>
      </c>
      <c r="P45" s="5"/>
      <c r="Q45" s="6"/>
      <c r="R45" s="5" t="s">
        <v>450</v>
      </c>
      <c r="S45" s="5">
        <v>238.1</v>
      </c>
      <c r="T45" s="5">
        <v>1000</v>
      </c>
      <c r="U45" s="5">
        <v>50</v>
      </c>
      <c r="V45" s="5" t="s">
        <v>451</v>
      </c>
      <c r="W45" s="5" t="s">
        <v>452</v>
      </c>
      <c r="X45" s="5" t="s">
        <v>40</v>
      </c>
      <c r="Y45" s="5"/>
      <c r="Z45" s="5"/>
      <c r="AA45" s="5"/>
      <c r="AB45" s="5"/>
      <c r="AC45" s="5" t="s">
        <v>453</v>
      </c>
      <c r="AD45" s="11" t="s">
        <v>454</v>
      </c>
    </row>
    <row r="46" spans="1:30" ht="15" thickBot="1" x14ac:dyDescent="0.35">
      <c r="A46" s="17" t="s">
        <v>455</v>
      </c>
      <c r="B46" s="5"/>
      <c r="C46" s="5" t="s">
        <v>456</v>
      </c>
      <c r="D46" s="5" t="s">
        <v>457</v>
      </c>
      <c r="E46" s="5" t="s">
        <v>458</v>
      </c>
      <c r="F46" s="5" t="s">
        <v>459</v>
      </c>
      <c r="G46" s="5" t="s">
        <v>459</v>
      </c>
      <c r="H46" s="5">
        <v>292.45618000000002</v>
      </c>
      <c r="I46" s="5">
        <v>629.13</v>
      </c>
      <c r="J46" s="5">
        <v>218.65</v>
      </c>
      <c r="K46" s="2">
        <v>772</v>
      </c>
      <c r="L46" s="5">
        <v>1.369</v>
      </c>
      <c r="M46" s="5">
        <v>0.84730000000000005</v>
      </c>
      <c r="N46" s="5">
        <v>1.54</v>
      </c>
      <c r="O46" s="5">
        <v>1.1399999999999999</v>
      </c>
      <c r="P46" s="5"/>
      <c r="Q46" s="6"/>
      <c r="R46" s="5" t="s">
        <v>450</v>
      </c>
      <c r="S46" s="5">
        <v>218.65</v>
      </c>
      <c r="T46" s="5">
        <v>1000</v>
      </c>
      <c r="U46" s="5">
        <v>50</v>
      </c>
      <c r="V46" s="5" t="s">
        <v>460</v>
      </c>
      <c r="W46" s="5" t="s">
        <v>461</v>
      </c>
      <c r="X46" s="5" t="s">
        <v>40</v>
      </c>
      <c r="Y46" s="5"/>
      <c r="Z46" s="5"/>
      <c r="AA46" s="5"/>
      <c r="AB46" s="5"/>
      <c r="AC46" s="5" t="s">
        <v>462</v>
      </c>
      <c r="AD46" s="11" t="s">
        <v>463</v>
      </c>
    </row>
    <row r="47" spans="1:30" ht="15" thickBot="1" x14ac:dyDescent="0.35">
      <c r="A47" s="17" t="s">
        <v>464</v>
      </c>
      <c r="B47" s="5"/>
      <c r="C47" s="5" t="s">
        <v>465</v>
      </c>
      <c r="D47" s="5" t="s">
        <v>466</v>
      </c>
      <c r="E47" s="5" t="s">
        <v>467</v>
      </c>
      <c r="F47" s="5" t="s">
        <v>468</v>
      </c>
      <c r="G47" s="5" t="s">
        <v>468</v>
      </c>
      <c r="H47" s="5">
        <v>296.48793999999998</v>
      </c>
      <c r="I47" s="5">
        <v>627.17999999999995</v>
      </c>
      <c r="J47" s="5">
        <v>253.47</v>
      </c>
      <c r="K47" s="2">
        <v>782</v>
      </c>
      <c r="L47" s="5">
        <v>1.246</v>
      </c>
      <c r="M47" s="5">
        <v>0.81284999999999996</v>
      </c>
      <c r="N47" s="5">
        <v>1.63</v>
      </c>
      <c r="O47" s="5">
        <v>0.90600000000000003</v>
      </c>
      <c r="P47" s="5"/>
      <c r="Q47" s="6"/>
      <c r="R47" s="5" t="s">
        <v>450</v>
      </c>
      <c r="S47" s="5">
        <v>253.47</v>
      </c>
      <c r="T47" s="5">
        <v>1000</v>
      </c>
      <c r="U47" s="5">
        <v>50</v>
      </c>
      <c r="V47" s="5" t="s">
        <v>469</v>
      </c>
      <c r="W47" s="5" t="s">
        <v>470</v>
      </c>
      <c r="X47" s="5" t="s">
        <v>40</v>
      </c>
      <c r="Y47" s="5"/>
      <c r="Z47" s="5"/>
      <c r="AA47" s="5"/>
      <c r="AB47" s="5"/>
      <c r="AC47" s="5" t="s">
        <v>471</v>
      </c>
      <c r="AD47" s="11" t="s">
        <v>472</v>
      </c>
    </row>
    <row r="48" spans="1:30" ht="15" thickBot="1" x14ac:dyDescent="0.35">
      <c r="A48" s="17" t="s">
        <v>473</v>
      </c>
      <c r="B48" s="5"/>
      <c r="C48" s="5" t="s">
        <v>474</v>
      </c>
      <c r="D48" s="5" t="s">
        <v>475</v>
      </c>
      <c r="E48" s="5" t="s">
        <v>476</v>
      </c>
      <c r="F48" s="5" t="s">
        <v>477</v>
      </c>
      <c r="G48" s="5" t="s">
        <v>477</v>
      </c>
      <c r="H48" s="5">
        <v>270.45066000000003</v>
      </c>
      <c r="I48" s="5">
        <v>602.26900000000001</v>
      </c>
      <c r="J48" s="5">
        <v>242</v>
      </c>
      <c r="K48" s="2">
        <v>755</v>
      </c>
      <c r="L48" s="5">
        <v>1.35</v>
      </c>
      <c r="M48" s="5">
        <v>0.89700000000000002</v>
      </c>
      <c r="N48" s="5">
        <v>1.54</v>
      </c>
      <c r="O48" s="5">
        <v>0.91</v>
      </c>
      <c r="P48" s="5"/>
      <c r="Q48" s="6"/>
      <c r="R48" s="5" t="s">
        <v>450</v>
      </c>
      <c r="S48" s="5">
        <v>302.70999999999998</v>
      </c>
      <c r="T48" s="5">
        <v>1000</v>
      </c>
      <c r="U48" s="5">
        <v>50</v>
      </c>
      <c r="V48" s="5" t="s">
        <v>478</v>
      </c>
      <c r="W48" s="5" t="s">
        <v>479</v>
      </c>
      <c r="X48" s="5" t="s">
        <v>40</v>
      </c>
      <c r="Y48" s="5"/>
      <c r="Z48" s="5"/>
      <c r="AA48" s="5"/>
      <c r="AB48" s="5"/>
      <c r="AC48" s="5" t="s">
        <v>480</v>
      </c>
      <c r="AD48" s="11" t="s">
        <v>481</v>
      </c>
    </row>
    <row r="49" spans="1:30" ht="15" thickBot="1" x14ac:dyDescent="0.35">
      <c r="A49" s="17" t="s">
        <v>482</v>
      </c>
      <c r="B49" s="5"/>
      <c r="C49" s="5" t="s">
        <v>483</v>
      </c>
      <c r="D49" s="5" t="s">
        <v>484</v>
      </c>
      <c r="E49" s="5" t="s">
        <v>485</v>
      </c>
      <c r="F49" s="5" t="s">
        <v>486</v>
      </c>
      <c r="G49" s="5" t="s">
        <v>486</v>
      </c>
      <c r="H49" s="5">
        <v>298.50382000000002</v>
      </c>
      <c r="I49" s="5">
        <v>629.55999999999995</v>
      </c>
      <c r="J49" s="5">
        <v>311.83999999999997</v>
      </c>
      <c r="K49" s="2">
        <v>775</v>
      </c>
      <c r="L49" s="5">
        <v>1.2390000000000001</v>
      </c>
      <c r="M49" s="5">
        <v>0.79430000000000001</v>
      </c>
      <c r="N49" s="5">
        <v>1.54</v>
      </c>
      <c r="O49" s="5">
        <v>1.02</v>
      </c>
      <c r="P49" s="5"/>
      <c r="Q49" s="6"/>
      <c r="R49" s="5" t="s">
        <v>450</v>
      </c>
      <c r="S49" s="5">
        <v>311.83999999999997</v>
      </c>
      <c r="T49" s="5">
        <v>1000</v>
      </c>
      <c r="U49" s="5">
        <v>50</v>
      </c>
      <c r="V49" s="5" t="s">
        <v>487</v>
      </c>
      <c r="W49" s="5" t="s">
        <v>488</v>
      </c>
      <c r="X49" s="5" t="s">
        <v>40</v>
      </c>
      <c r="Y49" s="5"/>
      <c r="Z49" s="5"/>
      <c r="AA49" s="5"/>
      <c r="AB49" s="5"/>
      <c r="AC49" s="5" t="s">
        <v>489</v>
      </c>
      <c r="AD49" s="11" t="s">
        <v>490</v>
      </c>
    </row>
    <row r="50" spans="1:30" ht="15" thickBot="1" x14ac:dyDescent="0.35">
      <c r="A50" s="17" t="s">
        <v>491</v>
      </c>
      <c r="B50" s="5"/>
      <c r="C50" s="5" t="s">
        <v>491</v>
      </c>
      <c r="D50" s="5" t="s">
        <v>492</v>
      </c>
      <c r="E50" s="5" t="s">
        <v>493</v>
      </c>
      <c r="F50" s="5" t="s">
        <v>494</v>
      </c>
      <c r="G50" s="5" t="s">
        <v>495</v>
      </c>
      <c r="H50" s="5">
        <v>98.186059999999998</v>
      </c>
      <c r="I50" s="5">
        <v>374</v>
      </c>
      <c r="J50" s="5">
        <v>146.69999999999999</v>
      </c>
      <c r="K50" s="2">
        <v>572.20000000000005</v>
      </c>
      <c r="L50" s="5">
        <v>3.47</v>
      </c>
      <c r="M50" s="5">
        <v>2.72</v>
      </c>
      <c r="N50" s="5">
        <v>0</v>
      </c>
      <c r="O50" s="5">
        <v>0.23400000000000001</v>
      </c>
      <c r="P50" s="5">
        <v>4600.6400000000003</v>
      </c>
      <c r="Q50" s="6">
        <v>-154746.99999999985</v>
      </c>
      <c r="R50" s="5" t="s">
        <v>170</v>
      </c>
      <c r="S50" s="5">
        <v>146.69999999999999</v>
      </c>
      <c r="T50" s="5">
        <v>600</v>
      </c>
      <c r="U50" s="5">
        <v>500</v>
      </c>
      <c r="V50" s="5" t="s">
        <v>496</v>
      </c>
      <c r="W50" s="5" t="s">
        <v>497</v>
      </c>
      <c r="X50" s="5" t="s">
        <v>40</v>
      </c>
      <c r="Y50" s="5" t="s">
        <v>498</v>
      </c>
      <c r="Z50" s="5"/>
      <c r="AA50" s="5"/>
      <c r="AB50" s="5"/>
      <c r="AC50" s="5" t="s">
        <v>499</v>
      </c>
      <c r="AD50" s="11" t="s">
        <v>500</v>
      </c>
    </row>
    <row r="51" spans="1:30" ht="15" thickBot="1" x14ac:dyDescent="0.35">
      <c r="A51" s="17" t="s">
        <v>501</v>
      </c>
      <c r="B51" s="5"/>
      <c r="C51" s="5" t="s">
        <v>502</v>
      </c>
      <c r="D51" s="5" t="s">
        <v>501</v>
      </c>
      <c r="E51" s="5" t="s">
        <v>503</v>
      </c>
      <c r="F51" s="5" t="s">
        <v>504</v>
      </c>
      <c r="G51" s="5" t="s">
        <v>504</v>
      </c>
      <c r="H51" s="5">
        <v>162.3768</v>
      </c>
      <c r="I51" s="5">
        <v>373.65800000000002</v>
      </c>
      <c r="J51" s="5">
        <v>204.93</v>
      </c>
      <c r="K51" s="2">
        <v>518.70000000000005</v>
      </c>
      <c r="L51" s="5">
        <v>1.93113</v>
      </c>
      <c r="M51" s="5">
        <v>1.653</v>
      </c>
      <c r="N51" s="5">
        <v>0.80100000000000005</v>
      </c>
      <c r="O51" s="5">
        <v>0.41799999999999998</v>
      </c>
      <c r="P51" s="5"/>
      <c r="Q51" s="6"/>
      <c r="R51" s="5" t="s">
        <v>187</v>
      </c>
      <c r="S51" s="5">
        <v>204.93</v>
      </c>
      <c r="T51" s="5">
        <v>580</v>
      </c>
      <c r="U51" s="5">
        <v>130</v>
      </c>
      <c r="V51" s="5" t="s">
        <v>505</v>
      </c>
      <c r="W51" s="5" t="s">
        <v>506</v>
      </c>
      <c r="X51" s="5" t="s">
        <v>40</v>
      </c>
      <c r="Y51" s="5"/>
      <c r="Z51" s="5"/>
      <c r="AA51" s="5"/>
      <c r="AB51" s="5"/>
      <c r="AC51" s="5" t="s">
        <v>507</v>
      </c>
      <c r="AD51" s="11" t="s">
        <v>508</v>
      </c>
    </row>
    <row r="52" spans="1:30" ht="15" thickBot="1" x14ac:dyDescent="0.35">
      <c r="A52" s="17" t="s">
        <v>509</v>
      </c>
      <c r="B52" s="5"/>
      <c r="C52" s="5" t="s">
        <v>510</v>
      </c>
      <c r="D52" s="5" t="s">
        <v>509</v>
      </c>
      <c r="E52" s="5" t="s">
        <v>511</v>
      </c>
      <c r="F52" s="5" t="s">
        <v>301</v>
      </c>
      <c r="G52" s="5" t="s">
        <v>301</v>
      </c>
      <c r="H52" s="5">
        <v>106.16500000000001</v>
      </c>
      <c r="I52" s="5">
        <v>412.214</v>
      </c>
      <c r="J52" s="5">
        <v>225.3</v>
      </c>
      <c r="K52" s="2">
        <v>616.89</v>
      </c>
      <c r="L52" s="5">
        <v>3.5345999999999997</v>
      </c>
      <c r="M52" s="5">
        <v>2.665</v>
      </c>
      <c r="N52" s="5">
        <v>0.3</v>
      </c>
      <c r="O52" s="5">
        <v>0.32600000000000001</v>
      </c>
      <c r="P52" s="5">
        <v>4593.34</v>
      </c>
      <c r="Q52" s="6">
        <v>16102.000000000089</v>
      </c>
      <c r="R52" s="5" t="s">
        <v>109</v>
      </c>
      <c r="S52" s="5">
        <v>225.3</v>
      </c>
      <c r="T52" s="5">
        <v>700</v>
      </c>
      <c r="U52" s="5">
        <v>200</v>
      </c>
      <c r="V52" s="5" t="s">
        <v>512</v>
      </c>
      <c r="W52" s="5" t="s">
        <v>513</v>
      </c>
      <c r="X52" s="5" t="s">
        <v>40</v>
      </c>
      <c r="Y52" s="5"/>
      <c r="Z52" s="5"/>
      <c r="AA52" s="5"/>
      <c r="AB52" s="5"/>
      <c r="AC52" s="5" t="s">
        <v>514</v>
      </c>
      <c r="AD52" s="11" t="s">
        <v>515</v>
      </c>
    </row>
    <row r="53" spans="1:30" ht="15" thickBot="1" x14ac:dyDescent="0.35">
      <c r="A53" s="17" t="s">
        <v>516</v>
      </c>
      <c r="B53" s="5"/>
      <c r="C53" s="5" t="s">
        <v>517</v>
      </c>
      <c r="D53" s="5" t="s">
        <v>518</v>
      </c>
      <c r="E53" s="5" t="s">
        <v>519</v>
      </c>
      <c r="F53" s="5" t="s">
        <v>520</v>
      </c>
      <c r="G53" s="5" t="s">
        <v>386</v>
      </c>
      <c r="H53" s="5">
        <v>72.148780000000002</v>
      </c>
      <c r="I53" s="5">
        <v>282.64999999999998</v>
      </c>
      <c r="J53" s="5">
        <v>256.60000000000002</v>
      </c>
      <c r="K53" s="2">
        <v>433.74</v>
      </c>
      <c r="L53" s="5">
        <v>3.1960000000000002</v>
      </c>
      <c r="M53" s="5">
        <v>3.27</v>
      </c>
      <c r="N53" s="5">
        <v>0</v>
      </c>
      <c r="O53" s="5">
        <v>0.1961</v>
      </c>
      <c r="P53" s="5">
        <v>3514.61</v>
      </c>
      <c r="Q53" s="6">
        <v>-167924.99999999994</v>
      </c>
      <c r="R53" s="5" t="s">
        <v>69</v>
      </c>
      <c r="S53" s="5">
        <v>256.60000000000002</v>
      </c>
      <c r="T53" s="5">
        <v>550</v>
      </c>
      <c r="U53" s="5">
        <v>200</v>
      </c>
      <c r="V53" s="5" t="s">
        <v>521</v>
      </c>
      <c r="W53" s="5" t="s">
        <v>522</v>
      </c>
      <c r="X53" s="5" t="s">
        <v>40</v>
      </c>
      <c r="Y53" s="5" t="s">
        <v>523</v>
      </c>
      <c r="Z53" s="5"/>
      <c r="AA53" s="5"/>
      <c r="AB53" s="5"/>
      <c r="AC53" s="5" t="s">
        <v>524</v>
      </c>
      <c r="AD53" s="11" t="s">
        <v>525</v>
      </c>
    </row>
    <row r="54" spans="1:30" ht="15" thickBot="1" x14ac:dyDescent="0.35">
      <c r="A54" s="17" t="s">
        <v>526</v>
      </c>
      <c r="B54" s="5"/>
      <c r="C54" s="5" t="s">
        <v>526</v>
      </c>
      <c r="D54" s="5" t="s">
        <v>527</v>
      </c>
      <c r="E54" s="5" t="s">
        <v>528</v>
      </c>
      <c r="F54" s="5" t="s">
        <v>529</v>
      </c>
      <c r="G54" s="5" t="s">
        <v>530</v>
      </c>
      <c r="H54" s="5">
        <v>128.2551</v>
      </c>
      <c r="I54" s="5">
        <v>423.91</v>
      </c>
      <c r="J54" s="5">
        <v>219.7</v>
      </c>
      <c r="K54" s="2">
        <v>594.54999999999995</v>
      </c>
      <c r="L54" s="5">
        <v>2.2810000000000001</v>
      </c>
      <c r="M54" s="5">
        <v>1.81</v>
      </c>
      <c r="N54" s="5">
        <v>7.0000000000000007E-2</v>
      </c>
      <c r="O54" s="5">
        <v>0.44330000000000003</v>
      </c>
      <c r="P54" s="5">
        <v>6171.15</v>
      </c>
      <c r="Q54" s="6">
        <v>-228749.00000000026</v>
      </c>
      <c r="R54" s="5" t="s">
        <v>121</v>
      </c>
      <c r="S54" s="5">
        <v>219.7</v>
      </c>
      <c r="T54" s="5">
        <v>600</v>
      </c>
      <c r="U54" s="5">
        <v>800</v>
      </c>
      <c r="V54" s="5" t="s">
        <v>531</v>
      </c>
      <c r="W54" s="5" t="s">
        <v>532</v>
      </c>
      <c r="X54" s="5" t="s">
        <v>40</v>
      </c>
      <c r="Y54" s="5" t="s">
        <v>533</v>
      </c>
      <c r="Z54" s="5"/>
      <c r="AA54" s="5"/>
      <c r="AB54" s="5"/>
      <c r="AC54" s="5" t="s">
        <v>534</v>
      </c>
      <c r="AD54" s="11" t="s">
        <v>535</v>
      </c>
    </row>
    <row r="55" spans="1:30" ht="15" thickBot="1" x14ac:dyDescent="0.35">
      <c r="A55" s="17" t="s">
        <v>536</v>
      </c>
      <c r="B55" s="5"/>
      <c r="C55" s="5" t="s">
        <v>537</v>
      </c>
      <c r="D55" s="5" t="s">
        <v>538</v>
      </c>
      <c r="E55" s="5" t="s">
        <v>539</v>
      </c>
      <c r="F55" s="5" t="s">
        <v>540</v>
      </c>
      <c r="G55" s="5" t="s">
        <v>541</v>
      </c>
      <c r="H55" s="5">
        <v>316.0444</v>
      </c>
      <c r="I55" s="5">
        <v>322.202</v>
      </c>
      <c r="J55" s="5">
        <v>165</v>
      </c>
      <c r="K55" s="2">
        <v>441.81</v>
      </c>
      <c r="L55" s="5">
        <v>1.869</v>
      </c>
      <c r="M55" s="5">
        <v>1.92</v>
      </c>
      <c r="N55" s="5">
        <v>0.43</v>
      </c>
      <c r="O55" s="5">
        <v>0.47099999999999997</v>
      </c>
      <c r="P55" s="5"/>
      <c r="Q55" s="6"/>
      <c r="R55" s="5" t="s">
        <v>143</v>
      </c>
      <c r="S55" s="5">
        <v>165</v>
      </c>
      <c r="T55" s="5">
        <v>500</v>
      </c>
      <c r="U55" s="5">
        <v>50</v>
      </c>
      <c r="V55" s="5" t="s">
        <v>542</v>
      </c>
      <c r="W55" s="5" t="s">
        <v>543</v>
      </c>
      <c r="X55" s="5" t="s">
        <v>103</v>
      </c>
      <c r="Y55" s="5"/>
      <c r="Z55" s="5"/>
      <c r="AA55" s="5"/>
      <c r="AB55" s="5"/>
      <c r="AC55" s="5" t="s">
        <v>544</v>
      </c>
      <c r="AD55" s="11" t="s">
        <v>545</v>
      </c>
    </row>
    <row r="56" spans="1:30" ht="15" thickBot="1" x14ac:dyDescent="0.35">
      <c r="A56" s="17" t="s">
        <v>546</v>
      </c>
      <c r="B56" s="5"/>
      <c r="C56" s="5" t="s">
        <v>546</v>
      </c>
      <c r="D56" s="5" t="s">
        <v>547</v>
      </c>
      <c r="E56" s="5" t="s">
        <v>548</v>
      </c>
      <c r="F56" s="5" t="s">
        <v>549</v>
      </c>
      <c r="G56" s="5" t="s">
        <v>375</v>
      </c>
      <c r="H56" s="5">
        <v>114.229</v>
      </c>
      <c r="I56" s="5">
        <v>398.79399999999998</v>
      </c>
      <c r="J56" s="5">
        <v>216.37</v>
      </c>
      <c r="K56" s="2">
        <v>568.74</v>
      </c>
      <c r="L56" s="5">
        <v>2.48359</v>
      </c>
      <c r="M56" s="5">
        <v>2.0310000000000001</v>
      </c>
      <c r="N56" s="5">
        <v>7.0000000000000007E-2</v>
      </c>
      <c r="O56" s="5">
        <v>0.39800000000000002</v>
      </c>
      <c r="P56" s="5">
        <v>5511.8</v>
      </c>
      <c r="Q56" s="6">
        <v>-208757.99999999983</v>
      </c>
      <c r="R56" s="5" t="s">
        <v>121</v>
      </c>
      <c r="S56" s="5">
        <v>216.37</v>
      </c>
      <c r="T56" s="5">
        <v>730</v>
      </c>
      <c r="U56" s="5">
        <v>1000</v>
      </c>
      <c r="V56" s="5" t="s">
        <v>550</v>
      </c>
      <c r="W56" s="5" t="s">
        <v>551</v>
      </c>
      <c r="X56" s="5" t="s">
        <v>40</v>
      </c>
      <c r="Y56" s="5" t="s">
        <v>378</v>
      </c>
      <c r="Z56" s="5"/>
      <c r="AA56" s="5"/>
      <c r="AB56" s="5"/>
      <c r="AC56" s="5" t="s">
        <v>552</v>
      </c>
      <c r="AD56" s="11" t="s">
        <v>553</v>
      </c>
    </row>
    <row r="57" spans="1:30" ht="15" thickBot="1" x14ac:dyDescent="0.35">
      <c r="A57" s="17" t="s">
        <v>554</v>
      </c>
      <c r="B57" s="5"/>
      <c r="C57" s="5" t="s">
        <v>555</v>
      </c>
      <c r="D57" s="5" t="s">
        <v>554</v>
      </c>
      <c r="E57" s="5" t="s">
        <v>556</v>
      </c>
      <c r="F57" s="5" t="s">
        <v>301</v>
      </c>
      <c r="G57" s="5" t="s">
        <v>301</v>
      </c>
      <c r="H57" s="5">
        <v>106.16500000000001</v>
      </c>
      <c r="I57" s="5">
        <v>417.52100000000002</v>
      </c>
      <c r="J57" s="5">
        <v>247.98500000000001</v>
      </c>
      <c r="K57" s="2">
        <v>630.25900000000001</v>
      </c>
      <c r="L57" s="5">
        <v>3.7374999999999998</v>
      </c>
      <c r="M57" s="5">
        <v>2.6844999999999999</v>
      </c>
      <c r="N57" s="5">
        <v>0.63</v>
      </c>
      <c r="O57" s="5">
        <v>0.312</v>
      </c>
      <c r="P57" s="5">
        <v>4596.3100000000004</v>
      </c>
      <c r="Q57" s="6">
        <v>19072.000000000342</v>
      </c>
      <c r="R57" s="5" t="s">
        <v>109</v>
      </c>
      <c r="S57" s="5">
        <v>247.98500000000001</v>
      </c>
      <c r="T57" s="5">
        <v>700</v>
      </c>
      <c r="U57" s="5">
        <v>70</v>
      </c>
      <c r="V57" s="5" t="s">
        <v>557</v>
      </c>
      <c r="W57" s="5" t="s">
        <v>558</v>
      </c>
      <c r="X57" s="5" t="s">
        <v>40</v>
      </c>
      <c r="Y57" s="5"/>
      <c r="Z57" s="5"/>
      <c r="AA57" s="5"/>
      <c r="AB57" s="5"/>
      <c r="AC57" s="5" t="s">
        <v>559</v>
      </c>
      <c r="AD57" s="11" t="s">
        <v>560</v>
      </c>
    </row>
    <row r="58" spans="1:30" ht="15" thickBot="1" x14ac:dyDescent="0.35">
      <c r="A58" s="17" t="s">
        <v>561</v>
      </c>
      <c r="B58" s="5"/>
      <c r="C58" s="5" t="s">
        <v>561</v>
      </c>
      <c r="D58" s="5" t="s">
        <v>562</v>
      </c>
      <c r="E58" s="5" t="s">
        <v>563</v>
      </c>
      <c r="F58" s="5" t="s">
        <v>564</v>
      </c>
      <c r="G58" s="5" t="s">
        <v>386</v>
      </c>
      <c r="H58" s="5">
        <v>72.148780000000002</v>
      </c>
      <c r="I58" s="5">
        <v>309.209</v>
      </c>
      <c r="J58" s="5">
        <v>143.47</v>
      </c>
      <c r="K58" s="2">
        <v>469.7</v>
      </c>
      <c r="L58" s="5">
        <v>3.3675000000000002</v>
      </c>
      <c r="M58" s="5">
        <v>3.21</v>
      </c>
      <c r="N58" s="5">
        <v>7.0000000000000007E-2</v>
      </c>
      <c r="O58" s="5">
        <v>0.251</v>
      </c>
      <c r="P58" s="5">
        <v>3535.77</v>
      </c>
      <c r="Q58" s="6">
        <v>-146765.00000000009</v>
      </c>
      <c r="R58" s="5" t="s">
        <v>121</v>
      </c>
      <c r="S58" s="5">
        <v>143.47</v>
      </c>
      <c r="T58" s="5">
        <v>650</v>
      </c>
      <c r="U58" s="5">
        <v>780</v>
      </c>
      <c r="V58" s="5" t="s">
        <v>565</v>
      </c>
      <c r="W58" s="5" t="s">
        <v>566</v>
      </c>
      <c r="X58" s="5" t="s">
        <v>40</v>
      </c>
      <c r="Y58" s="5" t="s">
        <v>389</v>
      </c>
      <c r="Z58" s="5"/>
      <c r="AA58" s="5"/>
      <c r="AB58" s="5" t="s">
        <v>125</v>
      </c>
      <c r="AC58" s="5" t="s">
        <v>567</v>
      </c>
      <c r="AD58" s="11" t="s">
        <v>568</v>
      </c>
    </row>
    <row r="59" spans="1:30" ht="15" thickBot="1" x14ac:dyDescent="0.35">
      <c r="A59" s="17" t="s">
        <v>569</v>
      </c>
      <c r="B59" s="4" t="s">
        <v>31</v>
      </c>
      <c r="C59" s="5" t="s">
        <v>570</v>
      </c>
      <c r="D59" s="5" t="s">
        <v>569</v>
      </c>
      <c r="E59" s="5" t="s">
        <v>571</v>
      </c>
      <c r="F59" s="5" t="s">
        <v>572</v>
      </c>
      <c r="G59" s="5" t="s">
        <v>572</v>
      </c>
      <c r="H59" s="5">
        <v>338.04199999999997</v>
      </c>
      <c r="I59" s="5">
        <v>330.274</v>
      </c>
      <c r="J59" s="5">
        <v>187.07</v>
      </c>
      <c r="K59" s="2">
        <v>448</v>
      </c>
      <c r="L59" s="5">
        <v>1.7415999999999998</v>
      </c>
      <c r="M59" s="5">
        <v>1.825</v>
      </c>
      <c r="N59" s="5">
        <v>0</v>
      </c>
      <c r="O59" s="5">
        <v>0.497</v>
      </c>
      <c r="P59" s="5"/>
      <c r="Q59" s="6"/>
      <c r="R59" s="5" t="s">
        <v>143</v>
      </c>
      <c r="S59" s="5">
        <v>187.07</v>
      </c>
      <c r="T59" s="5">
        <v>450</v>
      </c>
      <c r="U59" s="5">
        <v>40</v>
      </c>
      <c r="V59" s="5" t="s">
        <v>573</v>
      </c>
      <c r="W59" s="5" t="s">
        <v>574</v>
      </c>
      <c r="X59" s="5" t="s">
        <v>40</v>
      </c>
      <c r="Y59" s="5"/>
      <c r="Z59" s="5"/>
      <c r="AA59" s="5"/>
      <c r="AB59" s="5"/>
      <c r="AC59" s="5" t="s">
        <v>575</v>
      </c>
      <c r="AD59" s="11" t="s">
        <v>576</v>
      </c>
    </row>
    <row r="60" spans="1:30" ht="15" thickBot="1" x14ac:dyDescent="0.35">
      <c r="A60" s="17" t="s">
        <v>577</v>
      </c>
      <c r="B60" s="5"/>
      <c r="C60" s="5" t="s">
        <v>578</v>
      </c>
      <c r="D60" s="5" t="s">
        <v>577</v>
      </c>
      <c r="E60" s="5" t="s">
        <v>579</v>
      </c>
      <c r="F60" s="5" t="s">
        <v>580</v>
      </c>
      <c r="G60" s="5" t="s">
        <v>580</v>
      </c>
      <c r="H60" s="5">
        <v>288.03399999999999</v>
      </c>
      <c r="I60" s="5">
        <v>302.45299999999997</v>
      </c>
      <c r="J60" s="5">
        <v>148.21</v>
      </c>
      <c r="K60" s="2">
        <v>421</v>
      </c>
      <c r="L60" s="5">
        <v>2.0630000000000002</v>
      </c>
      <c r="M60" s="5">
        <v>2.17</v>
      </c>
      <c r="N60" s="5">
        <v>0</v>
      </c>
      <c r="O60" s="5">
        <v>0.436</v>
      </c>
      <c r="P60" s="5"/>
      <c r="Q60" s="6"/>
      <c r="R60" s="5" t="s">
        <v>143</v>
      </c>
      <c r="S60" s="5">
        <v>148.21</v>
      </c>
      <c r="T60" s="5">
        <v>500</v>
      </c>
      <c r="U60" s="5">
        <v>10</v>
      </c>
      <c r="V60" s="5" t="s">
        <v>581</v>
      </c>
      <c r="W60" s="5" t="s">
        <v>582</v>
      </c>
      <c r="X60" s="5" t="s">
        <v>40</v>
      </c>
      <c r="Y60" s="5"/>
      <c r="Z60" s="5"/>
      <c r="AA60" s="5"/>
      <c r="AB60" s="5"/>
      <c r="AC60" s="5" t="s">
        <v>583</v>
      </c>
      <c r="AD60" s="11" t="s">
        <v>584</v>
      </c>
    </row>
    <row r="61" spans="1:30" ht="15" thickBot="1" x14ac:dyDescent="0.35">
      <c r="A61" s="17" t="s">
        <v>585</v>
      </c>
      <c r="B61" s="5"/>
      <c r="C61" s="5" t="s">
        <v>586</v>
      </c>
      <c r="D61" s="5" t="s">
        <v>585</v>
      </c>
      <c r="E61" s="5" t="s">
        <v>587</v>
      </c>
      <c r="F61" s="5" t="s">
        <v>588</v>
      </c>
      <c r="G61" s="5" t="s">
        <v>589</v>
      </c>
      <c r="H61" s="5">
        <v>126.23922</v>
      </c>
      <c r="I61" s="5">
        <v>429.85599999999999</v>
      </c>
      <c r="J61" s="5">
        <v>178.2</v>
      </c>
      <c r="K61" s="2">
        <v>630.79999999999995</v>
      </c>
      <c r="L61" s="5">
        <v>2.86</v>
      </c>
      <c r="M61" s="5">
        <v>2.06</v>
      </c>
      <c r="N61" s="5">
        <v>0</v>
      </c>
      <c r="O61" s="5">
        <v>0.32600000000000001</v>
      </c>
      <c r="P61" s="5">
        <v>5920.7690000000002</v>
      </c>
      <c r="Q61" s="6">
        <v>-193299.99999999974</v>
      </c>
      <c r="R61" s="5" t="s">
        <v>170</v>
      </c>
      <c r="S61" s="5">
        <v>178.2</v>
      </c>
      <c r="T61" s="5">
        <v>650</v>
      </c>
      <c r="U61" s="5">
        <v>50</v>
      </c>
      <c r="V61" s="5" t="s">
        <v>590</v>
      </c>
      <c r="W61" s="5" t="s">
        <v>591</v>
      </c>
      <c r="X61" s="5" t="s">
        <v>40</v>
      </c>
      <c r="Y61" s="5"/>
      <c r="Z61" s="5"/>
      <c r="AA61" s="5"/>
      <c r="AB61" s="5"/>
      <c r="AC61" s="5" t="s">
        <v>592</v>
      </c>
      <c r="AD61" s="11" t="s">
        <v>593</v>
      </c>
    </row>
    <row r="62" spans="1:30" ht="15" thickBot="1" x14ac:dyDescent="0.35">
      <c r="A62" s="17" t="s">
        <v>594</v>
      </c>
      <c r="B62" s="4" t="s">
        <v>31</v>
      </c>
      <c r="C62" s="5" t="s">
        <v>595</v>
      </c>
      <c r="D62" s="5" t="s">
        <v>596</v>
      </c>
      <c r="E62" s="5" t="s">
        <v>597</v>
      </c>
      <c r="F62" s="5" t="s">
        <v>598</v>
      </c>
      <c r="G62" s="5" t="s">
        <v>96</v>
      </c>
      <c r="H62" s="5">
        <v>58.079140000000002</v>
      </c>
      <c r="I62" s="5">
        <v>307.26799999999997</v>
      </c>
      <c r="J62" s="5">
        <v>161.244</v>
      </c>
      <c r="K62" s="2">
        <v>488.11</v>
      </c>
      <c r="L62" s="5">
        <v>5.4366000000000003</v>
      </c>
      <c r="M62" s="5">
        <v>5.1550000000000002</v>
      </c>
      <c r="N62" s="5">
        <v>2</v>
      </c>
      <c r="O62" s="5">
        <v>0.249</v>
      </c>
      <c r="P62" s="5"/>
      <c r="Q62" s="6"/>
      <c r="R62" s="5" t="s">
        <v>97</v>
      </c>
      <c r="S62" s="5">
        <v>161.244</v>
      </c>
      <c r="T62" s="5">
        <v>489</v>
      </c>
      <c r="U62" s="5">
        <v>10</v>
      </c>
      <c r="V62" s="5" t="s">
        <v>599</v>
      </c>
      <c r="W62" s="5" t="s">
        <v>600</v>
      </c>
      <c r="X62" s="5" t="s">
        <v>40</v>
      </c>
      <c r="Y62" s="5" t="s">
        <v>601</v>
      </c>
      <c r="Z62" s="5"/>
      <c r="AA62" s="5"/>
      <c r="AB62" s="5"/>
      <c r="AC62" s="5" t="s">
        <v>602</v>
      </c>
      <c r="AD62" s="11" t="s">
        <v>603</v>
      </c>
    </row>
    <row r="63" spans="1:30" ht="15" thickBot="1" x14ac:dyDescent="0.35">
      <c r="A63" s="17" t="s">
        <v>604</v>
      </c>
      <c r="B63" s="5"/>
      <c r="C63" s="5" t="s">
        <v>605</v>
      </c>
      <c r="D63" s="5" t="s">
        <v>604</v>
      </c>
      <c r="E63" s="5" t="s">
        <v>606</v>
      </c>
      <c r="F63" s="5" t="s">
        <v>301</v>
      </c>
      <c r="G63" s="5" t="s">
        <v>301</v>
      </c>
      <c r="H63" s="5">
        <v>106.16500000000001</v>
      </c>
      <c r="I63" s="5">
        <v>411.47</v>
      </c>
      <c r="J63" s="5">
        <v>286.39999999999998</v>
      </c>
      <c r="K63" s="2">
        <v>616.16800000000001</v>
      </c>
      <c r="L63" s="5">
        <v>3.5314999999999999</v>
      </c>
      <c r="M63" s="5">
        <v>2.6939199999999999</v>
      </c>
      <c r="N63" s="5">
        <v>0</v>
      </c>
      <c r="O63" s="5">
        <v>0.32400000000000001</v>
      </c>
      <c r="P63" s="5">
        <v>4593.9380000000001</v>
      </c>
      <c r="Q63" s="6">
        <v>16700.000000000044</v>
      </c>
      <c r="R63" s="5" t="s">
        <v>109</v>
      </c>
      <c r="S63" s="5">
        <v>286.39999999999998</v>
      </c>
      <c r="T63" s="5">
        <v>700</v>
      </c>
      <c r="U63" s="5">
        <v>200</v>
      </c>
      <c r="V63" s="5" t="s">
        <v>607</v>
      </c>
      <c r="W63" s="5" t="s">
        <v>608</v>
      </c>
      <c r="X63" s="5" t="s">
        <v>40</v>
      </c>
      <c r="Y63" s="5" t="s">
        <v>609</v>
      </c>
      <c r="Z63" s="5"/>
      <c r="AA63" s="5"/>
      <c r="AB63" s="5"/>
      <c r="AC63" s="5" t="s">
        <v>610</v>
      </c>
      <c r="AD63" s="11" t="s">
        <v>611</v>
      </c>
    </row>
    <row r="64" spans="1:30" ht="15" thickBot="1" x14ac:dyDescent="0.35">
      <c r="A64" s="17" t="s">
        <v>612</v>
      </c>
      <c r="B64" s="5"/>
      <c r="C64" s="5" t="s">
        <v>613</v>
      </c>
      <c r="D64" s="5" t="s">
        <v>614</v>
      </c>
      <c r="E64" s="5" t="s">
        <v>615</v>
      </c>
      <c r="F64" s="5" t="s">
        <v>616</v>
      </c>
      <c r="G64" s="5" t="s">
        <v>616</v>
      </c>
      <c r="H64" s="5">
        <v>137.36799999999999</v>
      </c>
      <c r="I64" s="5">
        <v>296.858</v>
      </c>
      <c r="J64" s="5">
        <v>162.68</v>
      </c>
      <c r="K64" s="2">
        <v>471.11</v>
      </c>
      <c r="L64" s="5">
        <v>4.4076379999999995</v>
      </c>
      <c r="M64" s="5">
        <v>4.0329620000000004</v>
      </c>
      <c r="N64" s="5">
        <v>0.45</v>
      </c>
      <c r="O64" s="5">
        <v>0.18875</v>
      </c>
      <c r="P64" s="5"/>
      <c r="Q64" s="6"/>
      <c r="R64" s="5" t="s">
        <v>143</v>
      </c>
      <c r="S64" s="5">
        <v>162.68</v>
      </c>
      <c r="T64" s="5">
        <v>625</v>
      </c>
      <c r="U64" s="5">
        <v>30</v>
      </c>
      <c r="V64" s="5" t="s">
        <v>617</v>
      </c>
      <c r="W64" s="5" t="s">
        <v>618</v>
      </c>
      <c r="X64" s="5" t="s">
        <v>103</v>
      </c>
      <c r="Y64" s="5"/>
      <c r="Z64" s="5">
        <v>4750</v>
      </c>
      <c r="AA64" s="5">
        <v>1</v>
      </c>
      <c r="AB64" s="5" t="s">
        <v>105</v>
      </c>
      <c r="AC64" s="5" t="s">
        <v>619</v>
      </c>
      <c r="AD64" s="11" t="s">
        <v>620</v>
      </c>
    </row>
    <row r="65" spans="1:30" ht="15" thickBot="1" x14ac:dyDescent="0.35">
      <c r="A65" s="17" t="s">
        <v>621</v>
      </c>
      <c r="B65" s="5"/>
      <c r="C65" s="5" t="s">
        <v>622</v>
      </c>
      <c r="D65" s="5" t="s">
        <v>623</v>
      </c>
      <c r="E65" s="5" t="s">
        <v>624</v>
      </c>
      <c r="F65" s="5" t="s">
        <v>625</v>
      </c>
      <c r="G65" s="5" t="s">
        <v>626</v>
      </c>
      <c r="H65" s="5">
        <v>187.375</v>
      </c>
      <c r="I65" s="5">
        <v>320.73500000000001</v>
      </c>
      <c r="J65" s="5">
        <v>236.93</v>
      </c>
      <c r="K65" s="2">
        <v>487.21</v>
      </c>
      <c r="L65" s="5">
        <v>3.3921999999999999</v>
      </c>
      <c r="M65" s="5">
        <v>2.9886590000000002</v>
      </c>
      <c r="N65" s="5">
        <v>0.80300000000000005</v>
      </c>
      <c r="O65" s="5">
        <v>0.25252999999999998</v>
      </c>
      <c r="P65" s="5"/>
      <c r="Q65" s="6"/>
      <c r="R65" s="5" t="s">
        <v>143</v>
      </c>
      <c r="S65" s="5">
        <v>236.93</v>
      </c>
      <c r="T65" s="5">
        <v>525</v>
      </c>
      <c r="U65" s="5">
        <v>200</v>
      </c>
      <c r="V65" s="5" t="s">
        <v>627</v>
      </c>
      <c r="W65" s="5" t="s">
        <v>628</v>
      </c>
      <c r="X65" s="5" t="s">
        <v>103</v>
      </c>
      <c r="Y65" s="5"/>
      <c r="Z65" s="5">
        <v>6130</v>
      </c>
      <c r="AA65" s="5">
        <v>0.85</v>
      </c>
      <c r="AB65" s="5" t="s">
        <v>105</v>
      </c>
      <c r="AC65" s="5" t="s">
        <v>629</v>
      </c>
      <c r="AD65" s="11" t="s">
        <v>630</v>
      </c>
    </row>
    <row r="66" spans="1:30" ht="15" thickBot="1" x14ac:dyDescent="0.35">
      <c r="A66" s="17" t="s">
        <v>631</v>
      </c>
      <c r="B66" s="5"/>
      <c r="C66" s="5" t="s">
        <v>632</v>
      </c>
      <c r="D66" s="5" t="s">
        <v>633</v>
      </c>
      <c r="E66" s="5" t="s">
        <v>634</v>
      </c>
      <c r="F66" s="5" t="s">
        <v>635</v>
      </c>
      <c r="G66" s="5" t="s">
        <v>636</v>
      </c>
      <c r="H66" s="5">
        <v>170.92099999999999</v>
      </c>
      <c r="I66" s="5">
        <v>276.74099999999999</v>
      </c>
      <c r="J66" s="5">
        <v>180.63</v>
      </c>
      <c r="K66" s="2">
        <v>418.83</v>
      </c>
      <c r="L66" s="5">
        <v>3.2570000000000001</v>
      </c>
      <c r="M66" s="5">
        <v>3.3932000000000002</v>
      </c>
      <c r="N66" s="5">
        <v>0.65800000000000003</v>
      </c>
      <c r="O66" s="5">
        <v>0.25230000000000002</v>
      </c>
      <c r="P66" s="5"/>
      <c r="Q66" s="6"/>
      <c r="R66" s="5" t="s">
        <v>143</v>
      </c>
      <c r="S66" s="5">
        <v>273.14999999999998</v>
      </c>
      <c r="T66" s="5">
        <v>507</v>
      </c>
      <c r="U66" s="5">
        <v>21</v>
      </c>
      <c r="V66" s="5" t="s">
        <v>637</v>
      </c>
      <c r="W66" s="5" t="s">
        <v>638</v>
      </c>
      <c r="X66" s="5" t="s">
        <v>103</v>
      </c>
      <c r="Y66" s="5" t="s">
        <v>639</v>
      </c>
      <c r="Z66" s="5">
        <v>10000</v>
      </c>
      <c r="AA66" s="5">
        <v>0.57999999999999996</v>
      </c>
      <c r="AB66" s="5" t="s">
        <v>105</v>
      </c>
      <c r="AC66" s="5" t="s">
        <v>640</v>
      </c>
      <c r="AD66" s="11" t="s">
        <v>641</v>
      </c>
    </row>
    <row r="67" spans="1:30" ht="15" thickBot="1" x14ac:dyDescent="0.35">
      <c r="A67" s="17" t="s">
        <v>642</v>
      </c>
      <c r="B67" s="4" t="s">
        <v>31</v>
      </c>
      <c r="C67" s="5" t="s">
        <v>643</v>
      </c>
      <c r="D67" s="5" t="s">
        <v>644</v>
      </c>
      <c r="E67" s="5" t="s">
        <v>645</v>
      </c>
      <c r="F67" s="5" t="s">
        <v>646</v>
      </c>
      <c r="G67" s="5" t="s">
        <v>647</v>
      </c>
      <c r="H67" s="5">
        <v>148.48670000000001</v>
      </c>
      <c r="I67" s="5">
        <v>287.767</v>
      </c>
      <c r="J67" s="5">
        <v>263</v>
      </c>
      <c r="K67" s="2">
        <v>428.69</v>
      </c>
      <c r="L67" s="5">
        <v>3.3370000000000002</v>
      </c>
      <c r="M67" s="5">
        <v>3.55</v>
      </c>
      <c r="N67" s="5">
        <v>1.47</v>
      </c>
      <c r="O67" s="5">
        <v>0.32200000000000001</v>
      </c>
      <c r="P67" s="5"/>
      <c r="Q67" s="6"/>
      <c r="R67" s="5" t="s">
        <v>143</v>
      </c>
      <c r="S67" s="5">
        <v>263</v>
      </c>
      <c r="T67" s="5">
        <v>473.15</v>
      </c>
      <c r="U67" s="5">
        <v>40</v>
      </c>
      <c r="V67" s="5" t="s">
        <v>648</v>
      </c>
      <c r="W67" s="5" t="s">
        <v>649</v>
      </c>
      <c r="X67" s="5" t="s">
        <v>103</v>
      </c>
      <c r="Y67" s="5"/>
      <c r="Z67" s="5">
        <v>1</v>
      </c>
      <c r="AA67" s="5">
        <v>1.2E-4</v>
      </c>
      <c r="AB67" s="5"/>
      <c r="AC67" s="5" t="s">
        <v>650</v>
      </c>
      <c r="AD67" s="11" t="s">
        <v>651</v>
      </c>
    </row>
    <row r="68" spans="1:30" ht="15" thickBot="1" x14ac:dyDescent="0.35">
      <c r="A68" s="17" t="s">
        <v>652</v>
      </c>
      <c r="B68" s="5"/>
      <c r="C68" s="5" t="s">
        <v>653</v>
      </c>
      <c r="D68" s="5" t="s">
        <v>654</v>
      </c>
      <c r="E68" s="5" t="s">
        <v>655</v>
      </c>
      <c r="F68" s="5" t="s">
        <v>656</v>
      </c>
      <c r="G68" s="5" t="s">
        <v>657</v>
      </c>
      <c r="H68" s="5">
        <v>152.93100000000001</v>
      </c>
      <c r="I68" s="5">
        <v>300.97300000000001</v>
      </c>
      <c r="J68" s="5">
        <v>166</v>
      </c>
      <c r="K68" s="2">
        <v>456.83100000000002</v>
      </c>
      <c r="L68" s="5">
        <v>3.6618000000000004</v>
      </c>
      <c r="M68" s="5">
        <v>3.5964170000000002</v>
      </c>
      <c r="N68" s="5">
        <v>1.3560000000000001</v>
      </c>
      <c r="O68" s="5">
        <v>0.28192</v>
      </c>
      <c r="P68" s="5"/>
      <c r="Q68" s="6"/>
      <c r="R68" s="5" t="s">
        <v>143</v>
      </c>
      <c r="S68" s="5">
        <v>166</v>
      </c>
      <c r="T68" s="5">
        <v>600</v>
      </c>
      <c r="U68" s="5">
        <v>40</v>
      </c>
      <c r="V68" s="5" t="s">
        <v>658</v>
      </c>
      <c r="W68" s="5" t="s">
        <v>659</v>
      </c>
      <c r="X68" s="5" t="s">
        <v>103</v>
      </c>
      <c r="Y68" s="5"/>
      <c r="Z68" s="5">
        <v>77</v>
      </c>
      <c r="AA68" s="5">
        <v>0.01</v>
      </c>
      <c r="AB68" s="5" t="s">
        <v>660</v>
      </c>
      <c r="AC68" s="5" t="s">
        <v>661</v>
      </c>
      <c r="AD68" s="11" t="s">
        <v>662</v>
      </c>
    </row>
    <row r="69" spans="1:30" ht="15" thickBot="1" x14ac:dyDescent="0.35">
      <c r="A69" s="17" t="s">
        <v>663</v>
      </c>
      <c r="B69" s="5"/>
      <c r="C69" s="5" t="s">
        <v>664</v>
      </c>
      <c r="D69" s="5" t="s">
        <v>665</v>
      </c>
      <c r="E69" s="5" t="s">
        <v>666</v>
      </c>
      <c r="F69" s="5" t="s">
        <v>667</v>
      </c>
      <c r="G69" s="5" t="s">
        <v>668</v>
      </c>
      <c r="H69" s="5">
        <v>130.49619999999999</v>
      </c>
      <c r="I69" s="5">
        <v>291.41300000000001</v>
      </c>
      <c r="J69" s="5">
        <v>195.15</v>
      </c>
      <c r="K69" s="2">
        <v>439.6</v>
      </c>
      <c r="L69" s="5">
        <v>3.6236999999999999</v>
      </c>
      <c r="M69" s="5">
        <v>3.68</v>
      </c>
      <c r="N69" s="5">
        <v>1.1200000000000001</v>
      </c>
      <c r="O69" s="5">
        <v>0.30249999999999999</v>
      </c>
      <c r="P69" s="5"/>
      <c r="Q69" s="6"/>
      <c r="R69" s="5" t="s">
        <v>143</v>
      </c>
      <c r="S69" s="5">
        <v>195.15</v>
      </c>
      <c r="T69" s="5">
        <v>550</v>
      </c>
      <c r="U69" s="5">
        <v>100</v>
      </c>
      <c r="V69" s="5" t="s">
        <v>669</v>
      </c>
      <c r="W69" s="5" t="s">
        <v>670</v>
      </c>
      <c r="X69" s="5" t="s">
        <v>103</v>
      </c>
      <c r="Y69" s="5" t="s">
        <v>671</v>
      </c>
      <c r="Z69" s="5">
        <v>1</v>
      </c>
      <c r="AA69" s="5">
        <v>3.4000000000000002E-4</v>
      </c>
      <c r="AB69" s="5" t="s">
        <v>105</v>
      </c>
      <c r="AC69" s="5" t="s">
        <v>672</v>
      </c>
      <c r="AD69" s="11" t="s">
        <v>673</v>
      </c>
    </row>
    <row r="70" spans="1:30" ht="15" thickBot="1" x14ac:dyDescent="0.35">
      <c r="A70" s="17" t="s">
        <v>675</v>
      </c>
      <c r="B70" s="4" t="s">
        <v>31</v>
      </c>
      <c r="C70" s="5" t="s">
        <v>676</v>
      </c>
      <c r="D70" s="5" t="s">
        <v>677</v>
      </c>
      <c r="E70" s="5" t="s">
        <v>678</v>
      </c>
      <c r="F70" s="5" t="s">
        <v>679</v>
      </c>
      <c r="G70" s="5" t="s">
        <v>674</v>
      </c>
      <c r="H70" s="5">
        <v>114.0416</v>
      </c>
      <c r="I70" s="5">
        <v>282.87799999999999</v>
      </c>
      <c r="J70" s="5">
        <v>238</v>
      </c>
      <c r="K70" s="2">
        <v>423.27</v>
      </c>
      <c r="L70" s="5">
        <v>3.5305999999999997</v>
      </c>
      <c r="M70" s="5">
        <v>4</v>
      </c>
      <c r="N70" s="5">
        <v>2.9</v>
      </c>
      <c r="O70" s="5">
        <v>0.32700000000000001</v>
      </c>
      <c r="P70" s="5"/>
      <c r="Q70" s="6"/>
      <c r="R70" s="5" t="s">
        <v>143</v>
      </c>
      <c r="S70" s="5">
        <v>238</v>
      </c>
      <c r="T70" s="5">
        <v>440</v>
      </c>
      <c r="U70" s="5">
        <v>34</v>
      </c>
      <c r="V70" s="5" t="s">
        <v>680</v>
      </c>
      <c r="W70" s="5" t="s">
        <v>681</v>
      </c>
      <c r="X70" s="5" t="s">
        <v>103</v>
      </c>
      <c r="Y70" s="5"/>
      <c r="Z70" s="5">
        <v>1</v>
      </c>
      <c r="AA70" s="5">
        <v>0</v>
      </c>
      <c r="AB70" s="5"/>
      <c r="AC70" s="5" t="s">
        <v>682</v>
      </c>
      <c r="AD70" s="11" t="s">
        <v>683</v>
      </c>
    </row>
    <row r="71" spans="1:30" ht="15" thickBot="1" x14ac:dyDescent="0.35">
      <c r="A71" s="17" t="s">
        <v>684</v>
      </c>
      <c r="B71" s="4" t="s">
        <v>31</v>
      </c>
      <c r="C71" s="5" t="s">
        <v>685</v>
      </c>
      <c r="D71" s="5" t="s">
        <v>686</v>
      </c>
      <c r="E71" s="5" t="s">
        <v>687</v>
      </c>
      <c r="F71" s="5" t="s">
        <v>688</v>
      </c>
      <c r="G71" s="5" t="s">
        <v>689</v>
      </c>
      <c r="H71" s="5">
        <v>164.05600000000001</v>
      </c>
      <c r="I71" s="5">
        <v>306.60300000000001</v>
      </c>
      <c r="J71" s="5">
        <v>182.65</v>
      </c>
      <c r="K71" s="2">
        <v>444.5</v>
      </c>
      <c r="L71" s="5">
        <v>2.903</v>
      </c>
      <c r="M71" s="5">
        <v>3.044</v>
      </c>
      <c r="N71" s="5">
        <v>2.92</v>
      </c>
      <c r="O71" s="5">
        <v>0.38600000000000001</v>
      </c>
      <c r="P71" s="5"/>
      <c r="Q71" s="6"/>
      <c r="R71" s="5" t="s">
        <v>143</v>
      </c>
      <c r="S71" s="5">
        <v>182.65</v>
      </c>
      <c r="T71" s="5">
        <v>500</v>
      </c>
      <c r="U71" s="5">
        <v>46</v>
      </c>
      <c r="V71" s="5" t="s">
        <v>690</v>
      </c>
      <c r="W71" s="5" t="s">
        <v>691</v>
      </c>
      <c r="X71" s="5" t="s">
        <v>103</v>
      </c>
      <c r="Y71" s="5"/>
      <c r="Z71" s="5">
        <v>2</v>
      </c>
      <c r="AA71" s="5">
        <v>0</v>
      </c>
      <c r="AB71" s="5" t="s">
        <v>105</v>
      </c>
      <c r="AC71" s="5" t="s">
        <v>692</v>
      </c>
      <c r="AD71" s="11" t="s">
        <v>693</v>
      </c>
    </row>
    <row r="72" spans="1:30" ht="15" thickBot="1" x14ac:dyDescent="0.35">
      <c r="A72" s="17" t="s">
        <v>694</v>
      </c>
      <c r="B72" s="5"/>
      <c r="C72" s="5" t="s">
        <v>695</v>
      </c>
      <c r="D72" s="5" t="s">
        <v>696</v>
      </c>
      <c r="E72" s="5" t="s">
        <v>697</v>
      </c>
      <c r="F72" s="5" t="s">
        <v>698</v>
      </c>
      <c r="G72" s="5" t="s">
        <v>699</v>
      </c>
      <c r="H72" s="5">
        <v>116.94962</v>
      </c>
      <c r="I72" s="5">
        <v>305.2</v>
      </c>
      <c r="J72" s="5">
        <v>169.68</v>
      </c>
      <c r="K72" s="2">
        <v>477.5</v>
      </c>
      <c r="L72" s="5">
        <v>4.2119999999999997</v>
      </c>
      <c r="M72" s="5">
        <v>3.9209999999999998</v>
      </c>
      <c r="N72" s="5">
        <v>2.0139999999999998</v>
      </c>
      <c r="O72" s="5">
        <v>0.2195</v>
      </c>
      <c r="P72" s="5"/>
      <c r="Q72" s="6"/>
      <c r="R72" s="5" t="s">
        <v>143</v>
      </c>
      <c r="S72" s="5">
        <v>169.68</v>
      </c>
      <c r="T72" s="5">
        <v>500</v>
      </c>
      <c r="U72" s="5">
        <v>400</v>
      </c>
      <c r="V72" s="5" t="s">
        <v>700</v>
      </c>
      <c r="W72" s="5" t="s">
        <v>701</v>
      </c>
      <c r="X72" s="5" t="s">
        <v>103</v>
      </c>
      <c r="Y72" s="5"/>
      <c r="Z72" s="5">
        <v>725</v>
      </c>
      <c r="AA72" s="5">
        <v>0.12</v>
      </c>
      <c r="AB72" s="5"/>
      <c r="AC72" s="5" t="s">
        <v>702</v>
      </c>
      <c r="AD72" s="11" t="s">
        <v>703</v>
      </c>
    </row>
    <row r="73" spans="1:30" ht="15" thickBot="1" x14ac:dyDescent="0.35">
      <c r="A73" s="17" t="s">
        <v>704</v>
      </c>
      <c r="B73" s="5"/>
      <c r="C73" s="5" t="s">
        <v>705</v>
      </c>
      <c r="D73" s="5" t="s">
        <v>706</v>
      </c>
      <c r="E73" s="5" t="s">
        <v>707</v>
      </c>
      <c r="F73" s="5" t="s">
        <v>708</v>
      </c>
      <c r="G73" s="5" t="s">
        <v>708</v>
      </c>
      <c r="H73" s="5">
        <v>102.92</v>
      </c>
      <c r="I73" s="5">
        <v>282.01</v>
      </c>
      <c r="J73" s="5">
        <v>142.80000000000001</v>
      </c>
      <c r="K73" s="2">
        <v>451.48</v>
      </c>
      <c r="L73" s="5">
        <v>5.1811999999999996</v>
      </c>
      <c r="M73" s="5">
        <v>5.1107655999999997</v>
      </c>
      <c r="N73" s="5">
        <v>1.37</v>
      </c>
      <c r="O73" s="5">
        <v>0.20610000000000001</v>
      </c>
      <c r="P73" s="5"/>
      <c r="Q73" s="6"/>
      <c r="R73" s="5" t="s">
        <v>143</v>
      </c>
      <c r="S73" s="5">
        <v>200</v>
      </c>
      <c r="T73" s="5">
        <v>473</v>
      </c>
      <c r="U73" s="5">
        <v>138</v>
      </c>
      <c r="V73" s="5" t="s">
        <v>709</v>
      </c>
      <c r="W73" s="5" t="s">
        <v>710</v>
      </c>
      <c r="X73" s="5" t="s">
        <v>103</v>
      </c>
      <c r="Y73" s="5" t="s">
        <v>711</v>
      </c>
      <c r="Z73" s="5">
        <v>151</v>
      </c>
      <c r="AA73" s="5">
        <v>0.04</v>
      </c>
      <c r="AB73" s="5" t="s">
        <v>660</v>
      </c>
      <c r="AC73" s="5" t="s">
        <v>712</v>
      </c>
      <c r="AD73" s="11" t="s">
        <v>713</v>
      </c>
    </row>
    <row r="74" spans="1:30" ht="15" thickBot="1" x14ac:dyDescent="0.35">
      <c r="A74" s="17" t="s">
        <v>714</v>
      </c>
      <c r="B74" s="5"/>
      <c r="C74" s="5" t="s">
        <v>715</v>
      </c>
      <c r="D74" s="5" t="s">
        <v>716</v>
      </c>
      <c r="E74" s="5" t="s">
        <v>717</v>
      </c>
      <c r="F74" s="5" t="s">
        <v>718</v>
      </c>
      <c r="G74" s="5" t="s">
        <v>719</v>
      </c>
      <c r="H74" s="5">
        <v>134.04794000000001</v>
      </c>
      <c r="I74" s="5">
        <v>298.41199999999998</v>
      </c>
      <c r="J74" s="5">
        <v>196</v>
      </c>
      <c r="K74" s="2">
        <v>447.57</v>
      </c>
      <c r="L74" s="5">
        <v>3.9406999999999996</v>
      </c>
      <c r="M74" s="5">
        <v>3.92</v>
      </c>
      <c r="N74" s="5">
        <v>1.74</v>
      </c>
      <c r="O74" s="5">
        <v>0.35499999999999998</v>
      </c>
      <c r="P74" s="5"/>
      <c r="Q74" s="6"/>
      <c r="R74" s="5" t="s">
        <v>143</v>
      </c>
      <c r="S74" s="5">
        <v>196</v>
      </c>
      <c r="T74" s="5">
        <v>450</v>
      </c>
      <c r="U74" s="5">
        <v>10</v>
      </c>
      <c r="V74" s="5" t="s">
        <v>720</v>
      </c>
      <c r="W74" s="5" t="s">
        <v>721</v>
      </c>
      <c r="X74" s="5" t="s">
        <v>103</v>
      </c>
      <c r="Y74" s="5"/>
      <c r="Z74" s="5">
        <v>726</v>
      </c>
      <c r="AA74" s="5">
        <v>0</v>
      </c>
      <c r="AB74" s="5"/>
      <c r="AC74" s="5" t="s">
        <v>722</v>
      </c>
      <c r="AD74" s="11" t="s">
        <v>723</v>
      </c>
    </row>
    <row r="75" spans="1:30" ht="15" thickBot="1" x14ac:dyDescent="0.35">
      <c r="A75" s="17" t="s">
        <v>724</v>
      </c>
      <c r="B75" s="5"/>
      <c r="C75" s="5" t="s">
        <v>725</v>
      </c>
      <c r="D75" s="5" t="s">
        <v>726</v>
      </c>
      <c r="E75" s="5" t="s">
        <v>727</v>
      </c>
      <c r="F75" s="5" t="s">
        <v>728</v>
      </c>
      <c r="G75" s="5" t="s">
        <v>719</v>
      </c>
      <c r="H75" s="5">
        <v>134.04794000000001</v>
      </c>
      <c r="I75" s="5">
        <v>288.19799999999998</v>
      </c>
      <c r="J75" s="5">
        <v>170</v>
      </c>
      <c r="K75" s="2">
        <v>427.01</v>
      </c>
      <c r="L75" s="5">
        <v>3.6509999999999998</v>
      </c>
      <c r="M75" s="5">
        <v>3.875</v>
      </c>
      <c r="N75" s="5">
        <v>1.5489999999999999</v>
      </c>
      <c r="O75" s="5">
        <v>0.37830000000000003</v>
      </c>
      <c r="P75" s="5"/>
      <c r="Q75" s="6"/>
      <c r="R75" s="5" t="s">
        <v>143</v>
      </c>
      <c r="S75" s="5">
        <v>170</v>
      </c>
      <c r="T75" s="5">
        <v>440</v>
      </c>
      <c r="U75" s="5">
        <v>200</v>
      </c>
      <c r="V75" s="5" t="s">
        <v>729</v>
      </c>
      <c r="W75" s="5" t="s">
        <v>730</v>
      </c>
      <c r="X75" s="5" t="s">
        <v>103</v>
      </c>
      <c r="Y75" s="5"/>
      <c r="Z75" s="5">
        <v>1030</v>
      </c>
      <c r="AA75" s="5">
        <v>0</v>
      </c>
      <c r="AB75" s="5" t="s">
        <v>660</v>
      </c>
      <c r="AC75" s="5" t="s">
        <v>731</v>
      </c>
      <c r="AD75" s="11" t="s">
        <v>732</v>
      </c>
    </row>
    <row r="76" spans="1:30" ht="15" thickBot="1" x14ac:dyDescent="0.35">
      <c r="A76" s="17" t="s">
        <v>733</v>
      </c>
      <c r="B76" s="5"/>
      <c r="C76" s="5" t="s">
        <v>734</v>
      </c>
      <c r="D76" s="5" t="s">
        <v>735</v>
      </c>
      <c r="E76" s="5" t="s">
        <v>736</v>
      </c>
      <c r="F76" s="5" t="s">
        <v>737</v>
      </c>
      <c r="G76" s="5" t="s">
        <v>738</v>
      </c>
      <c r="H76" s="5">
        <v>148.07452000000001</v>
      </c>
      <c r="I76" s="5">
        <v>313.34300000000002</v>
      </c>
      <c r="J76" s="5">
        <v>239</v>
      </c>
      <c r="K76" s="2">
        <v>460</v>
      </c>
      <c r="L76" s="5">
        <v>3.266</v>
      </c>
      <c r="M76" s="5">
        <v>3.2</v>
      </c>
      <c r="N76" s="5">
        <v>3.8069999999999999</v>
      </c>
      <c r="O76" s="5">
        <v>0.377</v>
      </c>
      <c r="P76" s="5"/>
      <c r="Q76" s="6"/>
      <c r="R76" s="5" t="s">
        <v>143</v>
      </c>
      <c r="S76" s="5">
        <v>239</v>
      </c>
      <c r="T76" s="5">
        <v>500</v>
      </c>
      <c r="U76" s="5">
        <v>35</v>
      </c>
      <c r="V76" s="5" t="s">
        <v>739</v>
      </c>
      <c r="W76" s="5" t="s">
        <v>740</v>
      </c>
      <c r="X76" s="5" t="s">
        <v>103</v>
      </c>
      <c r="Y76" s="5"/>
      <c r="Z76" s="5">
        <v>794</v>
      </c>
      <c r="AA76" s="5">
        <v>0</v>
      </c>
      <c r="AB76" s="5"/>
      <c r="AC76" s="5" t="s">
        <v>741</v>
      </c>
      <c r="AD76" s="11" t="s">
        <v>742</v>
      </c>
    </row>
    <row r="77" spans="1:30" ht="15" thickBot="1" x14ac:dyDescent="0.35">
      <c r="A77" s="17" t="s">
        <v>744</v>
      </c>
      <c r="B77" s="5"/>
      <c r="C77" s="5" t="s">
        <v>745</v>
      </c>
      <c r="D77" s="5" t="s">
        <v>746</v>
      </c>
      <c r="E77" s="5" t="s">
        <v>747</v>
      </c>
      <c r="F77" s="5" t="s">
        <v>748</v>
      </c>
      <c r="G77" s="5" t="s">
        <v>743</v>
      </c>
      <c r="H77" s="5">
        <v>150.047336</v>
      </c>
      <c r="I77" s="5">
        <v>302.39999999999998</v>
      </c>
      <c r="J77" s="5">
        <v>250</v>
      </c>
      <c r="K77" s="2">
        <v>444.88</v>
      </c>
      <c r="L77" s="5">
        <v>3.4329999999999998</v>
      </c>
      <c r="M77" s="5">
        <v>3.432258</v>
      </c>
      <c r="N77" s="5">
        <v>1.631</v>
      </c>
      <c r="O77" s="5">
        <v>0.38700000000000001</v>
      </c>
      <c r="P77" s="5"/>
      <c r="Q77" s="6"/>
      <c r="R77" s="5" t="s">
        <v>143</v>
      </c>
      <c r="S77" s="5">
        <v>250</v>
      </c>
      <c r="T77" s="5">
        <v>500</v>
      </c>
      <c r="U77" s="5">
        <v>400</v>
      </c>
      <c r="V77" s="5" t="s">
        <v>749</v>
      </c>
      <c r="W77" s="5" t="s">
        <v>750</v>
      </c>
      <c r="X77" s="5" t="s">
        <v>103</v>
      </c>
      <c r="Y77" s="5"/>
      <c r="Z77" s="5">
        <v>286</v>
      </c>
      <c r="AA77" s="5">
        <v>0</v>
      </c>
      <c r="AB77" s="5"/>
      <c r="AC77" s="5" t="s">
        <v>751</v>
      </c>
      <c r="AD77" s="11" t="s">
        <v>752</v>
      </c>
    </row>
    <row r="78" spans="1:30" ht="15" thickBot="1" x14ac:dyDescent="0.35">
      <c r="A78" s="17" t="s">
        <v>753</v>
      </c>
      <c r="B78" s="5"/>
      <c r="C78" s="5" t="s">
        <v>754</v>
      </c>
      <c r="D78" s="5" t="s">
        <v>755</v>
      </c>
      <c r="E78" s="5" t="s">
        <v>756</v>
      </c>
      <c r="F78" s="5" t="s">
        <v>757</v>
      </c>
      <c r="G78" s="5" t="s">
        <v>758</v>
      </c>
      <c r="H78" s="5">
        <v>200.05484240000001</v>
      </c>
      <c r="I78" s="5">
        <v>307.32799999999997</v>
      </c>
      <c r="J78" s="5">
        <v>150.65</v>
      </c>
      <c r="K78" s="2">
        <v>437.7</v>
      </c>
      <c r="L78" s="5">
        <v>2.4781999999999997</v>
      </c>
      <c r="M78" s="5">
        <v>2.64</v>
      </c>
      <c r="N78" s="5">
        <v>3.13</v>
      </c>
      <c r="O78" s="5">
        <v>0.40300000000000002</v>
      </c>
      <c r="P78" s="5"/>
      <c r="Q78" s="6"/>
      <c r="R78" s="5" t="s">
        <v>143</v>
      </c>
      <c r="S78" s="5">
        <v>150.65</v>
      </c>
      <c r="T78" s="5">
        <v>500</v>
      </c>
      <c r="U78" s="5">
        <v>20</v>
      </c>
      <c r="V78" s="5" t="s">
        <v>759</v>
      </c>
      <c r="W78" s="5" t="s">
        <v>760</v>
      </c>
      <c r="X78" s="5" t="s">
        <v>103</v>
      </c>
      <c r="Y78" s="5"/>
      <c r="Z78" s="5"/>
      <c r="AA78" s="5"/>
      <c r="AB78" s="5"/>
      <c r="AC78" s="5" t="s">
        <v>761</v>
      </c>
      <c r="AD78" s="11" t="s">
        <v>762</v>
      </c>
    </row>
    <row r="79" spans="1:30" ht="15" thickBot="1" x14ac:dyDescent="0.35">
      <c r="A79" s="17" t="s">
        <v>763</v>
      </c>
      <c r="B79" s="5"/>
      <c r="C79" s="5" t="s">
        <v>763</v>
      </c>
      <c r="D79" s="5" t="s">
        <v>764</v>
      </c>
      <c r="E79" s="5" t="s">
        <v>765</v>
      </c>
      <c r="F79" s="5" t="s">
        <v>766</v>
      </c>
      <c r="G79" s="5" t="s">
        <v>767</v>
      </c>
      <c r="H79" s="5">
        <v>64.063800000000001</v>
      </c>
      <c r="I79" s="5">
        <v>263.137</v>
      </c>
      <c r="J79" s="5">
        <v>197.7</v>
      </c>
      <c r="K79" s="2">
        <v>430.64</v>
      </c>
      <c r="L79" s="5">
        <v>7.8866000000000005</v>
      </c>
      <c r="M79" s="5">
        <v>8.0779999999999994</v>
      </c>
      <c r="N79" s="5">
        <v>1.6</v>
      </c>
      <c r="O79" s="5">
        <v>0.25600000000000001</v>
      </c>
      <c r="P79" s="5">
        <v>0</v>
      </c>
      <c r="Q79" s="6"/>
      <c r="R79" s="5" t="s">
        <v>97</v>
      </c>
      <c r="S79" s="5">
        <v>197.7</v>
      </c>
      <c r="T79" s="5">
        <v>525</v>
      </c>
      <c r="U79" s="5">
        <v>35</v>
      </c>
      <c r="V79" s="5" t="s">
        <v>768</v>
      </c>
      <c r="W79" s="5" t="s">
        <v>769</v>
      </c>
      <c r="X79" s="5" t="s">
        <v>40</v>
      </c>
      <c r="Y79" s="5" t="s">
        <v>770</v>
      </c>
      <c r="Z79" s="5"/>
      <c r="AA79" s="5"/>
      <c r="AB79" s="5" t="s">
        <v>660</v>
      </c>
      <c r="AC79" s="5" t="s">
        <v>771</v>
      </c>
      <c r="AD79" s="11" t="s">
        <v>772</v>
      </c>
    </row>
    <row r="80" spans="1:30" ht="15" thickBot="1" x14ac:dyDescent="0.35">
      <c r="A80" s="17" t="s">
        <v>773</v>
      </c>
      <c r="B80" s="5"/>
      <c r="C80" s="5" t="s">
        <v>774</v>
      </c>
      <c r="D80" s="5" t="s">
        <v>773</v>
      </c>
      <c r="E80" s="5" t="s">
        <v>775</v>
      </c>
      <c r="F80" s="5" t="s">
        <v>776</v>
      </c>
      <c r="G80" s="5" t="s">
        <v>777</v>
      </c>
      <c r="H80" s="5">
        <v>92.138419999999996</v>
      </c>
      <c r="I80" s="5">
        <v>383.75</v>
      </c>
      <c r="J80" s="5">
        <v>178</v>
      </c>
      <c r="K80" s="2">
        <v>591.75</v>
      </c>
      <c r="L80" s="5">
        <v>4.1263000000000005</v>
      </c>
      <c r="M80" s="5">
        <v>3.169</v>
      </c>
      <c r="N80" s="5">
        <v>0.36</v>
      </c>
      <c r="O80" s="5">
        <v>0.26569999999999999</v>
      </c>
      <c r="P80" s="5">
        <v>3947.89</v>
      </c>
      <c r="Q80" s="6">
        <v>49992.999999999709</v>
      </c>
      <c r="R80" s="5" t="s">
        <v>109</v>
      </c>
      <c r="S80" s="5">
        <v>178</v>
      </c>
      <c r="T80" s="5">
        <v>700</v>
      </c>
      <c r="U80" s="5">
        <v>500</v>
      </c>
      <c r="V80" s="5" t="s">
        <v>778</v>
      </c>
      <c r="W80" s="5" t="s">
        <v>779</v>
      </c>
      <c r="X80" s="5" t="s">
        <v>40</v>
      </c>
      <c r="Y80" s="5" t="s">
        <v>780</v>
      </c>
      <c r="Z80" s="5">
        <v>2.7</v>
      </c>
      <c r="AA80" s="5">
        <v>0</v>
      </c>
      <c r="AB80" s="5"/>
      <c r="AC80" s="5" t="s">
        <v>781</v>
      </c>
      <c r="AD80" s="11" t="s">
        <v>782</v>
      </c>
    </row>
    <row r="81" spans="1:30" ht="15" thickBot="1" x14ac:dyDescent="0.35">
      <c r="A81" s="17" t="s">
        <v>783</v>
      </c>
      <c r="B81" s="5"/>
      <c r="C81" s="5" t="s">
        <v>784</v>
      </c>
      <c r="D81" s="5" t="s">
        <v>785</v>
      </c>
      <c r="E81" s="5" t="s">
        <v>786</v>
      </c>
      <c r="F81" s="5" t="s">
        <v>153</v>
      </c>
      <c r="G81" s="5" t="s">
        <v>133</v>
      </c>
      <c r="H81" s="5">
        <v>56.106319999999997</v>
      </c>
      <c r="I81" s="5">
        <v>274.02999999999997</v>
      </c>
      <c r="J81" s="5">
        <v>167.6</v>
      </c>
      <c r="K81" s="2">
        <v>428.61</v>
      </c>
      <c r="L81" s="5">
        <v>4.0273000000000003</v>
      </c>
      <c r="M81" s="5">
        <v>4.2130000000000001</v>
      </c>
      <c r="N81" s="5">
        <v>0</v>
      </c>
      <c r="O81" s="5">
        <v>0.21</v>
      </c>
      <c r="P81" s="5">
        <v>2706.4</v>
      </c>
      <c r="Q81" s="6">
        <v>-10963.999999999942</v>
      </c>
      <c r="R81" s="5" t="s">
        <v>37</v>
      </c>
      <c r="S81" s="5">
        <v>167.6</v>
      </c>
      <c r="T81" s="5">
        <v>525</v>
      </c>
      <c r="U81" s="5">
        <v>50</v>
      </c>
      <c r="V81" s="5" t="s">
        <v>787</v>
      </c>
      <c r="W81" s="5" t="s">
        <v>788</v>
      </c>
      <c r="X81" s="5" t="s">
        <v>40</v>
      </c>
      <c r="Y81" s="5" t="s">
        <v>136</v>
      </c>
      <c r="Z81" s="5"/>
      <c r="AA81" s="5"/>
      <c r="AB81" s="5"/>
      <c r="AC81" s="5" t="s">
        <v>789</v>
      </c>
      <c r="AD81" s="11" t="s">
        <v>790</v>
      </c>
    </row>
    <row r="82" spans="1:30" ht="15" thickBot="1" x14ac:dyDescent="0.35">
      <c r="A82" s="17" t="s">
        <v>791</v>
      </c>
      <c r="B82" s="5"/>
      <c r="C82" s="5" t="s">
        <v>791</v>
      </c>
      <c r="D82" s="5" t="s">
        <v>792</v>
      </c>
      <c r="E82" s="5" t="s">
        <v>793</v>
      </c>
      <c r="F82" s="5" t="s">
        <v>794</v>
      </c>
      <c r="G82" s="5" t="s">
        <v>795</v>
      </c>
      <c r="H82" s="5">
        <v>156.30825999999999</v>
      </c>
      <c r="I82" s="5">
        <v>468.93400000000003</v>
      </c>
      <c r="J82" s="5">
        <v>247.541</v>
      </c>
      <c r="K82" s="2">
        <v>638.79999999999995</v>
      </c>
      <c r="L82" s="5">
        <v>1.9904000000000002</v>
      </c>
      <c r="M82" s="5">
        <v>1.5148999999999999</v>
      </c>
      <c r="N82" s="5">
        <v>0</v>
      </c>
      <c r="O82" s="5">
        <v>0.53900000000000003</v>
      </c>
      <c r="P82" s="5">
        <v>7488.14</v>
      </c>
      <c r="Q82" s="6">
        <v>-270440.99999999983</v>
      </c>
      <c r="R82" s="5" t="s">
        <v>121</v>
      </c>
      <c r="S82" s="5">
        <v>247.60599999999999</v>
      </c>
      <c r="T82" s="5">
        <v>700</v>
      </c>
      <c r="U82" s="5">
        <v>500</v>
      </c>
      <c r="V82" s="5" t="s">
        <v>796</v>
      </c>
      <c r="W82" s="5" t="s">
        <v>797</v>
      </c>
      <c r="X82" s="5" t="s">
        <v>40</v>
      </c>
      <c r="Y82" s="5" t="s">
        <v>798</v>
      </c>
      <c r="Z82" s="5"/>
      <c r="AA82" s="5"/>
      <c r="AB82" s="5"/>
      <c r="AC82" s="5" t="s">
        <v>799</v>
      </c>
      <c r="AD82" s="11" t="s">
        <v>800</v>
      </c>
    </row>
    <row r="83" spans="1:30" ht="15" thickBot="1" x14ac:dyDescent="0.35">
      <c r="A83" s="17" t="s">
        <v>801</v>
      </c>
      <c r="B83" s="4" t="s">
        <v>31</v>
      </c>
      <c r="C83" s="5" t="s">
        <v>802</v>
      </c>
      <c r="D83" s="5" t="s">
        <v>803</v>
      </c>
      <c r="E83" s="5" t="s">
        <v>804</v>
      </c>
      <c r="F83" s="5" t="s">
        <v>805</v>
      </c>
      <c r="G83" s="5" t="s">
        <v>805</v>
      </c>
      <c r="H83" s="5">
        <v>62.498220000000003</v>
      </c>
      <c r="I83" s="5">
        <v>259.44299999999998</v>
      </c>
      <c r="J83" s="5">
        <v>119.31</v>
      </c>
      <c r="K83" s="2">
        <v>424.964</v>
      </c>
      <c r="L83" s="5">
        <v>5.5903</v>
      </c>
      <c r="M83" s="5">
        <v>5.62</v>
      </c>
      <c r="N83" s="5">
        <v>1.45103</v>
      </c>
      <c r="O83" s="5">
        <v>0.161</v>
      </c>
      <c r="P83" s="5"/>
      <c r="Q83" s="6"/>
      <c r="R83" s="5" t="s">
        <v>143</v>
      </c>
      <c r="S83" s="5">
        <v>190</v>
      </c>
      <c r="T83" s="5">
        <v>450</v>
      </c>
      <c r="U83" s="5">
        <v>10</v>
      </c>
      <c r="V83" s="5" t="s">
        <v>806</v>
      </c>
      <c r="W83" s="5" t="s">
        <v>807</v>
      </c>
      <c r="X83" s="5" t="s">
        <v>40</v>
      </c>
      <c r="Y83" s="5" t="s">
        <v>808</v>
      </c>
      <c r="Z83" s="5"/>
      <c r="AA83" s="5"/>
      <c r="AB83" s="5"/>
      <c r="AC83" s="5" t="s">
        <v>809</v>
      </c>
      <c r="AD83" s="11" t="s">
        <v>810</v>
      </c>
    </row>
    <row r="84" spans="1:30" ht="15" thickBot="1" x14ac:dyDescent="0.35">
      <c r="A84" s="17" t="s">
        <v>811</v>
      </c>
      <c r="B84" s="5"/>
      <c r="C84" s="5" t="s">
        <v>811</v>
      </c>
      <c r="D84" s="5" t="s">
        <v>812</v>
      </c>
      <c r="E84" s="5" t="s">
        <v>813</v>
      </c>
      <c r="F84" s="5" t="s">
        <v>814</v>
      </c>
      <c r="G84" s="5" t="s">
        <v>814</v>
      </c>
      <c r="H84" s="5">
        <v>18.015267999999999</v>
      </c>
      <c r="I84" s="5">
        <v>373.12430000000001</v>
      </c>
      <c r="J84" s="5">
        <v>273.16000000000003</v>
      </c>
      <c r="K84" s="2">
        <v>647.096</v>
      </c>
      <c r="L84" s="5">
        <v>22.064</v>
      </c>
      <c r="M84" s="5">
        <v>17.873727995599999</v>
      </c>
      <c r="N84" s="5">
        <v>1.855</v>
      </c>
      <c r="O84" s="5">
        <v>0.34429999999999999</v>
      </c>
      <c r="P84" s="5">
        <v>44.015999999999998</v>
      </c>
      <c r="Q84" s="6"/>
      <c r="R84" s="5" t="s">
        <v>97</v>
      </c>
      <c r="S84" s="5">
        <v>251.16499999999999</v>
      </c>
      <c r="T84" s="5">
        <v>2000</v>
      </c>
      <c r="U84" s="5">
        <v>1000</v>
      </c>
      <c r="V84" s="5" t="s">
        <v>815</v>
      </c>
      <c r="W84" s="5" t="s">
        <v>816</v>
      </c>
      <c r="X84" s="5" t="s">
        <v>104</v>
      </c>
      <c r="Y84" s="5"/>
      <c r="Z84" s="5"/>
      <c r="AA84" s="5"/>
      <c r="AB84" s="5" t="s">
        <v>105</v>
      </c>
      <c r="AC84" s="5" t="s">
        <v>817</v>
      </c>
      <c r="AD84" s="11" t="s">
        <v>818</v>
      </c>
    </row>
    <row r="85" spans="1:30" ht="15" thickBot="1" x14ac:dyDescent="0.35">
      <c r="A85" s="17"/>
      <c r="B85" s="5"/>
      <c r="C85" s="5"/>
      <c r="D85" s="5"/>
      <c r="E85" s="5"/>
      <c r="F85" s="5"/>
      <c r="G85" s="5"/>
      <c r="H85" s="5"/>
      <c r="I85" s="5"/>
      <c r="J85" s="5"/>
      <c r="K85" s="2"/>
      <c r="L85" s="5"/>
      <c r="M85" s="5"/>
      <c r="N85" s="5"/>
      <c r="O85" s="5"/>
      <c r="P85" s="5"/>
      <c r="Q85" s="6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11"/>
    </row>
    <row r="86" spans="1:30" ht="15" thickBot="1" x14ac:dyDescent="0.35">
      <c r="A86" s="17"/>
      <c r="B86" s="5"/>
      <c r="C86" s="5"/>
      <c r="D86" s="5"/>
      <c r="E86" s="5"/>
      <c r="F86" s="5"/>
      <c r="G86" s="5"/>
      <c r="H86" s="5"/>
      <c r="I86" s="5"/>
      <c r="J86" s="5"/>
      <c r="K86" s="2"/>
      <c r="L86" s="5"/>
      <c r="M86" s="5"/>
      <c r="N86" s="5"/>
      <c r="O86" s="5"/>
      <c r="P86" s="5"/>
      <c r="Q86" s="6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11"/>
    </row>
    <row r="87" spans="1:30" ht="15" thickBot="1" x14ac:dyDescent="0.35">
      <c r="A87" s="17"/>
      <c r="B87" s="5"/>
      <c r="C87" s="5"/>
      <c r="D87" s="5"/>
      <c r="E87" s="5"/>
      <c r="F87" s="5"/>
      <c r="G87" s="5"/>
      <c r="H87" s="5"/>
      <c r="I87" s="5"/>
      <c r="J87" s="5"/>
      <c r="K87" s="2"/>
      <c r="L87" s="5"/>
      <c r="M87" s="5"/>
      <c r="N87" s="5"/>
      <c r="O87" s="5"/>
      <c r="P87" s="5"/>
      <c r="Q87" s="6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11"/>
    </row>
    <row r="88" spans="1:30" ht="15" thickBot="1" x14ac:dyDescent="0.35">
      <c r="A88" s="17"/>
      <c r="B88" s="5"/>
      <c r="C88" s="5"/>
      <c r="D88" s="5"/>
      <c r="E88" s="5"/>
      <c r="F88" s="5"/>
      <c r="G88" s="5"/>
      <c r="H88" s="5"/>
      <c r="I88" s="5"/>
      <c r="J88" s="5"/>
      <c r="K88" s="2"/>
      <c r="L88" s="5"/>
      <c r="M88" s="5"/>
      <c r="N88" s="5"/>
      <c r="O88" s="5"/>
      <c r="P88" s="5"/>
      <c r="Q88" s="6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11"/>
    </row>
    <row r="89" spans="1:30" ht="15" thickBot="1" x14ac:dyDescent="0.35">
      <c r="A89" s="17"/>
      <c r="B89" s="5"/>
      <c r="C89" s="5"/>
      <c r="D89" s="5"/>
      <c r="E89" s="5"/>
      <c r="F89" s="5"/>
      <c r="G89" s="5"/>
      <c r="H89" s="5"/>
      <c r="I89" s="5"/>
      <c r="J89" s="5"/>
      <c r="K89" s="2"/>
      <c r="L89" s="5"/>
      <c r="M89" s="5"/>
      <c r="N89" s="5"/>
      <c r="O89" s="5"/>
      <c r="P89" s="5"/>
      <c r="Q89" s="6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11"/>
    </row>
    <row r="90" spans="1:30" ht="15" thickBot="1" x14ac:dyDescent="0.35">
      <c r="A90" s="17"/>
      <c r="B90" s="5"/>
      <c r="C90" s="5"/>
      <c r="D90" s="5"/>
      <c r="E90" s="5"/>
      <c r="F90" s="5"/>
      <c r="G90" s="5"/>
      <c r="H90" s="5"/>
      <c r="I90" s="5"/>
      <c r="J90" s="5"/>
      <c r="K90" s="2"/>
      <c r="L90" s="5"/>
      <c r="M90" s="5"/>
      <c r="N90" s="5"/>
      <c r="O90" s="5"/>
      <c r="P90" s="5"/>
      <c r="Q90" s="6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11"/>
    </row>
    <row r="91" spans="1:30" x14ac:dyDescent="0.3">
      <c r="A91" s="17"/>
      <c r="B91" s="4"/>
      <c r="C91" s="5"/>
      <c r="D91" s="5"/>
      <c r="E91" s="5"/>
      <c r="F91" s="5"/>
      <c r="G91" s="5"/>
      <c r="H91" s="5"/>
      <c r="I91" s="5"/>
      <c r="J91" s="5"/>
      <c r="K91" s="2"/>
      <c r="L91" s="5"/>
      <c r="M91" s="5"/>
      <c r="N91" s="5"/>
      <c r="O91" s="5"/>
      <c r="P91" s="5"/>
      <c r="Q91" s="6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11"/>
    </row>
    <row r="148" spans="2:31" ht="15" thickBot="1" x14ac:dyDescent="0.35"/>
    <row r="149" spans="2:31" ht="15" thickBot="1" x14ac:dyDescent="0.35">
      <c r="B149" s="7"/>
      <c r="C149" s="8"/>
      <c r="D149" s="8"/>
      <c r="E149" s="8"/>
      <c r="F149" s="8"/>
      <c r="G149" s="8"/>
      <c r="H149" s="8"/>
      <c r="I149" s="8"/>
      <c r="J149" s="8"/>
      <c r="K149" s="8"/>
      <c r="L149" s="2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9"/>
    </row>
  </sheetData>
  <conditionalFormatting sqref="K2:K91 L149">
    <cfRule type="cellIs" dxfId="1" priority="3" operator="greaterThan">
      <formula>$AN$1</formula>
    </cfRule>
    <cfRule type="cellIs" dxfId="0" priority="4" operator="between">
      <formula>$AJ$1</formula>
      <formula>$AN$1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Mixa</dc:creator>
  <cp:lastModifiedBy>Petr Mixa</cp:lastModifiedBy>
  <dcterms:created xsi:type="dcterms:W3CDTF">2015-06-05T18:19:34Z</dcterms:created>
  <dcterms:modified xsi:type="dcterms:W3CDTF">2026-04-14T17:30:30Z</dcterms:modified>
</cp:coreProperties>
</file>