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Paxin45\Documents\Škola\Vysoká\Energetika\2.semestr\PRO2\model\"/>
    </mc:Choice>
  </mc:AlternateContent>
  <xr:revisionPtr revIDLastSave="0" documentId="13_ncr:1_{D90CA054-3447-4369-9717-76F2D863FF0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ist1" sheetId="1" r:id="rId1"/>
    <sheet name="List2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1" l="1"/>
  <c r="D11" i="1"/>
  <c r="C14" i="1" a="1"/>
  <c r="C11" i="1" a="1"/>
  <c r="Z170" i="1" a="1"/>
  <c r="Z174" i="1" a="1"/>
  <c r="Z178" i="1" a="1"/>
  <c r="Z182" i="1" a="1"/>
  <c r="Z186" i="1" a="1"/>
  <c r="Z190" i="1" a="1"/>
  <c r="Z194" i="1" a="1"/>
  <c r="Z198" i="1" a="1"/>
  <c r="Z202" i="1" a="1"/>
  <c r="Z206" i="1" a="1"/>
  <c r="Z210" i="1" a="1"/>
  <c r="Z214" i="1" a="1"/>
  <c r="Z218" i="1" a="1"/>
  <c r="Z222" i="1" a="1"/>
  <c r="Z226" i="1" a="1"/>
  <c r="Z230" i="1" a="1"/>
  <c r="AA186" i="1" a="1"/>
  <c r="AA194" i="1" a="1"/>
  <c r="AA206" i="1" a="1"/>
  <c r="AA214" i="1" a="1"/>
  <c r="AA222" i="1" a="1"/>
  <c r="AA226" i="1" a="1"/>
  <c r="AA203" i="1" a="1"/>
  <c r="AA227" i="1" a="1"/>
  <c r="Z212" i="1" a="1"/>
  <c r="AA172" i="1" a="1"/>
  <c r="AA224" i="1" a="1"/>
  <c r="Z201" i="1" a="1"/>
  <c r="Z213" i="1" a="1"/>
  <c r="AA189" i="1" a="1"/>
  <c r="AA217" i="1" a="1"/>
  <c r="AA174" i="1" a="1"/>
  <c r="AA202" i="1" a="1"/>
  <c r="AA218" i="1" a="1"/>
  <c r="AA215" i="1" a="1"/>
  <c r="Z224" i="1" a="1"/>
  <c r="AA200" i="1" a="1"/>
  <c r="Z185" i="1" a="1"/>
  <c r="Z229" i="1" a="1"/>
  <c r="AA173" i="1" a="1"/>
  <c r="AA201" i="1" a="1"/>
  <c r="AA170" i="1" a="1"/>
  <c r="AA178" i="1" a="1"/>
  <c r="AA182" i="1" a="1"/>
  <c r="AA190" i="1" a="1"/>
  <c r="AA198" i="1" a="1"/>
  <c r="AA210" i="1" a="1"/>
  <c r="AA230" i="1" a="1"/>
  <c r="AA211" i="1" a="1"/>
  <c r="AA204" i="1" a="1"/>
  <c r="Z197" i="1" a="1"/>
  <c r="AA197" i="1" a="1"/>
  <c r="AA225" i="1" a="1"/>
  <c r="Z171" i="1" a="1"/>
  <c r="Z175" i="1" a="1"/>
  <c r="Z179" i="1" a="1"/>
  <c r="Z183" i="1" a="1"/>
  <c r="Z187" i="1" a="1"/>
  <c r="Z191" i="1" a="1"/>
  <c r="Z195" i="1" a="1"/>
  <c r="Z199" i="1" a="1"/>
  <c r="Z203" i="1" a="1"/>
  <c r="Z207" i="1" a="1"/>
  <c r="Z211" i="1" a="1"/>
  <c r="Z215" i="1" a="1"/>
  <c r="Z219" i="1" a="1"/>
  <c r="Z223" i="1" a="1"/>
  <c r="Z227" i="1" a="1"/>
  <c r="AA207" i="1" a="1"/>
  <c r="Z208" i="1" a="1"/>
  <c r="Z228" i="1" a="1"/>
  <c r="AA180" i="1" a="1"/>
  <c r="AA216" i="1" a="1"/>
  <c r="Z181" i="1" a="1"/>
  <c r="AA193" i="1" a="1"/>
  <c r="AA221" i="1" a="1"/>
  <c r="AA175" i="1" a="1"/>
  <c r="AA191" i="1" a="1"/>
  <c r="AA195" i="1" a="1"/>
  <c r="AA223" i="1" a="1"/>
  <c r="AA192" i="1" a="1"/>
  <c r="AA220" i="1" a="1"/>
  <c r="Z173" i="1" a="1"/>
  <c r="AA171" i="1" a="1"/>
  <c r="AA179" i="1" a="1"/>
  <c r="AA183" i="1" a="1"/>
  <c r="AA187" i="1" a="1"/>
  <c r="AA199" i="1" a="1"/>
  <c r="AA219" i="1" a="1"/>
  <c r="Z216" i="1" a="1"/>
  <c r="AA188" i="1" a="1"/>
  <c r="Z189" i="1" a="1"/>
  <c r="AA177" i="1" a="1"/>
  <c r="AA209" i="1" a="1"/>
  <c r="Z192" i="1" a="1"/>
  <c r="AA196" i="1" a="1"/>
  <c r="AA228" i="1" a="1"/>
  <c r="Z193" i="1" a="1"/>
  <c r="Z205" i="1" a="1"/>
  <c r="AA213" i="1" a="1"/>
  <c r="Z172" i="1" a="1"/>
  <c r="Z176" i="1" a="1"/>
  <c r="Z180" i="1" a="1"/>
  <c r="Z184" i="1" a="1"/>
  <c r="Z188" i="1" a="1"/>
  <c r="Z196" i="1" a="1"/>
  <c r="Z200" i="1" a="1"/>
  <c r="Z204" i="1" a="1"/>
  <c r="Z220" i="1" a="1"/>
  <c r="AA184" i="1" a="1"/>
  <c r="AA208" i="1" a="1"/>
  <c r="Z177" i="1" a="1"/>
  <c r="AA212" i="1" a="1"/>
  <c r="Z209" i="1" a="1"/>
  <c r="Z225" i="1" a="1"/>
  <c r="AA181" i="1" a="1"/>
  <c r="AA176" i="1" a="1"/>
  <c r="Z221" i="1" a="1"/>
  <c r="AA205" i="1" a="1"/>
  <c r="AA229" i="1" a="1"/>
  <c r="Z217" i="1" a="1"/>
  <c r="AA185" i="1" a="1"/>
  <c r="W3" i="1" a="1"/>
  <c r="Z4" i="1" a="1"/>
  <c r="Z8" i="1" a="1"/>
  <c r="Z12" i="1" a="1"/>
  <c r="Z16" i="1" a="1"/>
  <c r="Z20" i="1" a="1"/>
  <c r="Z24" i="1" a="1"/>
  <c r="Z28" i="1" a="1"/>
  <c r="Z32" i="1" a="1"/>
  <c r="Z36" i="1" a="1"/>
  <c r="Z40" i="1" a="1"/>
  <c r="Z44" i="1" a="1"/>
  <c r="Z48" i="1" a="1"/>
  <c r="Z52" i="1" a="1"/>
  <c r="Z56" i="1" a="1"/>
  <c r="Z60" i="1" a="1"/>
  <c r="Z64" i="1" a="1"/>
  <c r="Z68" i="1" a="1"/>
  <c r="Z72" i="1" a="1"/>
  <c r="Z76" i="1" a="1"/>
  <c r="Z80" i="1" a="1"/>
  <c r="Z84" i="1" a="1"/>
  <c r="Z88" i="1" a="1"/>
  <c r="Z92" i="1" a="1"/>
  <c r="Z96" i="1" a="1"/>
  <c r="Z100" i="1" a="1"/>
  <c r="Z104" i="1" a="1"/>
  <c r="Z108" i="1" a="1"/>
  <c r="Z112" i="1" a="1"/>
  <c r="Z116" i="1" a="1"/>
  <c r="Z120" i="1" a="1"/>
  <c r="Z124" i="1" a="1"/>
  <c r="Z128" i="1" a="1"/>
  <c r="Z132" i="1" a="1"/>
  <c r="Z136" i="1" a="1"/>
  <c r="Z140" i="1" a="1"/>
  <c r="Z144" i="1" a="1"/>
  <c r="Z148" i="1" a="1"/>
  <c r="Z152" i="1" a="1"/>
  <c r="Z156" i="1" a="1"/>
  <c r="Z160" i="1" a="1"/>
  <c r="Z164" i="1" a="1"/>
  <c r="Z168" i="1" a="1"/>
  <c r="AA76" i="1" a="1"/>
  <c r="AA96" i="1" a="1"/>
  <c r="AA104" i="1" a="1"/>
  <c r="AA116" i="1" a="1"/>
  <c r="AA128" i="1" a="1"/>
  <c r="AA144" i="1" a="1"/>
  <c r="AA148" i="1" a="1"/>
  <c r="AA152" i="1" a="1"/>
  <c r="AA156" i="1" a="1"/>
  <c r="AA160" i="1" a="1"/>
  <c r="AA164" i="1" a="1"/>
  <c r="AA168" i="1" a="1"/>
  <c r="AA138" i="1" a="1"/>
  <c r="AA166" i="1" a="1"/>
  <c r="AA4" i="1" a="1"/>
  <c r="AA8" i="1" a="1"/>
  <c r="AA12" i="1" a="1"/>
  <c r="AA16" i="1" a="1"/>
  <c r="AA20" i="1" a="1"/>
  <c r="AA24" i="1" a="1"/>
  <c r="AA28" i="1" a="1"/>
  <c r="AA32" i="1" a="1"/>
  <c r="AA36" i="1" a="1"/>
  <c r="AA40" i="1" a="1"/>
  <c r="AA44" i="1" a="1"/>
  <c r="AA48" i="1" a="1"/>
  <c r="AA52" i="1" a="1"/>
  <c r="AA56" i="1" a="1"/>
  <c r="AA60" i="1" a="1"/>
  <c r="AA64" i="1" a="1"/>
  <c r="AA68" i="1" a="1"/>
  <c r="AA72" i="1" a="1"/>
  <c r="AA80" i="1" a="1"/>
  <c r="AA84" i="1" a="1"/>
  <c r="AA88" i="1" a="1"/>
  <c r="AA92" i="1" a="1"/>
  <c r="AA100" i="1" a="1"/>
  <c r="AA108" i="1" a="1"/>
  <c r="AA112" i="1" a="1"/>
  <c r="AA120" i="1" a="1"/>
  <c r="AA124" i="1" a="1"/>
  <c r="AA132" i="1" a="1"/>
  <c r="AA136" i="1" a="1"/>
  <c r="AA140" i="1" a="1"/>
  <c r="Z101" i="1" a="1"/>
  <c r="Z133" i="1" a="1"/>
  <c r="Z137" i="1" a="1"/>
  <c r="Z145" i="1" a="1"/>
  <c r="Z5" i="1" a="1"/>
  <c r="Z9" i="1" a="1"/>
  <c r="Z13" i="1" a="1"/>
  <c r="Z17" i="1" a="1"/>
  <c r="Z21" i="1" a="1"/>
  <c r="Z25" i="1" a="1"/>
  <c r="Z29" i="1" a="1"/>
  <c r="Z33" i="1" a="1"/>
  <c r="Z37" i="1" a="1"/>
  <c r="Z41" i="1" a="1"/>
  <c r="Z45" i="1" a="1"/>
  <c r="Z49" i="1" a="1"/>
  <c r="Z53" i="1" a="1"/>
  <c r="Z57" i="1" a="1"/>
  <c r="Z61" i="1" a="1"/>
  <c r="Z65" i="1" a="1"/>
  <c r="Z69" i="1" a="1"/>
  <c r="Z73" i="1" a="1"/>
  <c r="Z77" i="1" a="1"/>
  <c r="Z81" i="1" a="1"/>
  <c r="Z85" i="1" a="1"/>
  <c r="Z89" i="1" a="1"/>
  <c r="Z93" i="1" a="1"/>
  <c r="Z97" i="1" a="1"/>
  <c r="Z105" i="1" a="1"/>
  <c r="Z109" i="1" a="1"/>
  <c r="Z113" i="1" a="1"/>
  <c r="Z117" i="1" a="1"/>
  <c r="Z121" i="1" a="1"/>
  <c r="Z125" i="1" a="1"/>
  <c r="Z129" i="1" a="1"/>
  <c r="Z141" i="1" a="1"/>
  <c r="Z149" i="1" a="1"/>
  <c r="Z153" i="1" a="1"/>
  <c r="Z157" i="1" a="1"/>
  <c r="Z161" i="1" a="1"/>
  <c r="Z165" i="1" a="1"/>
  <c r="Z169" i="1" a="1"/>
  <c r="AA146" i="1" a="1"/>
  <c r="AA158" i="1" a="1"/>
  <c r="AA162" i="1" a="1"/>
  <c r="AA45" i="1" a="1"/>
  <c r="AA61" i="1" a="1"/>
  <c r="AA69" i="1" a="1"/>
  <c r="AA73" i="1" a="1"/>
  <c r="AA77" i="1" a="1"/>
  <c r="AA81" i="1" a="1"/>
  <c r="AA85" i="1" a="1"/>
  <c r="AA89" i="1" a="1"/>
  <c r="AA93" i="1" a="1"/>
  <c r="AA97" i="1" a="1"/>
  <c r="AA101" i="1" a="1"/>
  <c r="AA105" i="1" a="1"/>
  <c r="AA109" i="1" a="1"/>
  <c r="AA113" i="1" a="1"/>
  <c r="AA117" i="1" a="1"/>
  <c r="AA121" i="1" a="1"/>
  <c r="AA125" i="1" a="1"/>
  <c r="AA129" i="1" a="1"/>
  <c r="AA133" i="1" a="1"/>
  <c r="AA137" i="1" a="1"/>
  <c r="AA141" i="1" a="1"/>
  <c r="AA145" i="1" a="1"/>
  <c r="AA149" i="1" a="1"/>
  <c r="AA153" i="1" a="1"/>
  <c r="AA157" i="1" a="1"/>
  <c r="AA161" i="1" a="1"/>
  <c r="AA165" i="1" a="1"/>
  <c r="AA169" i="1" a="1"/>
  <c r="AA142" i="1" a="1"/>
  <c r="AA5" i="1" a="1"/>
  <c r="AA9" i="1" a="1"/>
  <c r="AA13" i="1" a="1"/>
  <c r="AA17" i="1" a="1"/>
  <c r="AA21" i="1" a="1"/>
  <c r="AA25" i="1" a="1"/>
  <c r="AA29" i="1" a="1"/>
  <c r="AA33" i="1" a="1"/>
  <c r="AA37" i="1" a="1"/>
  <c r="AA41" i="1" a="1"/>
  <c r="AA49" i="1" a="1"/>
  <c r="AA53" i="1" a="1"/>
  <c r="AA57" i="1" a="1"/>
  <c r="AA65" i="1" a="1"/>
  <c r="Z26" i="1" a="1"/>
  <c r="Z46" i="1" a="1"/>
  <c r="Z66" i="1" a="1"/>
  <c r="Z70" i="1" a="1"/>
  <c r="Z86" i="1" a="1"/>
  <c r="Z94" i="1" a="1"/>
  <c r="Z102" i="1" a="1"/>
  <c r="Z106" i="1" a="1"/>
  <c r="Z114" i="1" a="1"/>
  <c r="Z126" i="1" a="1"/>
  <c r="Z134" i="1" a="1"/>
  <c r="Z138" i="1" a="1"/>
  <c r="Z150" i="1" a="1"/>
  <c r="Z158" i="1" a="1"/>
  <c r="Z162" i="1" a="1"/>
  <c r="Z6" i="1" a="1"/>
  <c r="Z10" i="1" a="1"/>
  <c r="Z14" i="1" a="1"/>
  <c r="Z18" i="1" a="1"/>
  <c r="Z22" i="1" a="1"/>
  <c r="Z30" i="1" a="1"/>
  <c r="Z34" i="1" a="1"/>
  <c r="Z38" i="1" a="1"/>
  <c r="Z42" i="1" a="1"/>
  <c r="Z50" i="1" a="1"/>
  <c r="Z54" i="1" a="1"/>
  <c r="Z58" i="1" a="1"/>
  <c r="Z62" i="1" a="1"/>
  <c r="Z74" i="1" a="1"/>
  <c r="Z78" i="1" a="1"/>
  <c r="Z82" i="1" a="1"/>
  <c r="Z90" i="1" a="1"/>
  <c r="Z98" i="1" a="1"/>
  <c r="Z110" i="1" a="1"/>
  <c r="Z118" i="1" a="1"/>
  <c r="Z122" i="1" a="1"/>
  <c r="Z130" i="1" a="1"/>
  <c r="Z142" i="1" a="1"/>
  <c r="Z146" i="1" a="1"/>
  <c r="Z154" i="1" a="1"/>
  <c r="Z166" i="1" a="1"/>
  <c r="AA134" i="1" a="1"/>
  <c r="AA10" i="1" a="1"/>
  <c r="AA22" i="1" a="1"/>
  <c r="AA6" i="1" a="1"/>
  <c r="AA14" i="1" a="1"/>
  <c r="AA18" i="1" a="1"/>
  <c r="AA26" i="1" a="1"/>
  <c r="AA30" i="1" a="1"/>
  <c r="AA34" i="1" a="1"/>
  <c r="AA38" i="1" a="1"/>
  <c r="AA42" i="1" a="1"/>
  <c r="AA46" i="1" a="1"/>
  <c r="AA50" i="1" a="1"/>
  <c r="AA54" i="1" a="1"/>
  <c r="AA58" i="1" a="1"/>
  <c r="AA62" i="1" a="1"/>
  <c r="AA66" i="1" a="1"/>
  <c r="AA70" i="1" a="1"/>
  <c r="AA74" i="1" a="1"/>
  <c r="AA78" i="1" a="1"/>
  <c r="AA82" i="1" a="1"/>
  <c r="AA86" i="1" a="1"/>
  <c r="AA90" i="1" a="1"/>
  <c r="AA94" i="1" a="1"/>
  <c r="AA98" i="1" a="1"/>
  <c r="AA102" i="1" a="1"/>
  <c r="AA106" i="1" a="1"/>
  <c r="AA110" i="1" a="1"/>
  <c r="AA114" i="1" a="1"/>
  <c r="AA118" i="1" a="1"/>
  <c r="AA122" i="1" a="1"/>
  <c r="AA126" i="1" a="1"/>
  <c r="AA130" i="1" a="1"/>
  <c r="AA150" i="1" a="1"/>
  <c r="AA154" i="1" a="1"/>
  <c r="Z11" i="1" a="1"/>
  <c r="Z19" i="1" a="1"/>
  <c r="Z31" i="1" a="1"/>
  <c r="Z39" i="1" a="1"/>
  <c r="Z43" i="1" a="1"/>
  <c r="Z51" i="1" a="1"/>
  <c r="Z59" i="1" a="1"/>
  <c r="Z75" i="1" a="1"/>
  <c r="Z83" i="1" a="1"/>
  <c r="Z91" i="1" a="1"/>
  <c r="Z107" i="1" a="1"/>
  <c r="Z127" i="1" a="1"/>
  <c r="Z139" i="1" a="1"/>
  <c r="Z163" i="1" a="1"/>
  <c r="Z7" i="1" a="1"/>
  <c r="Z15" i="1" a="1"/>
  <c r="Z23" i="1" a="1"/>
  <c r="Z27" i="1" a="1"/>
  <c r="Z35" i="1" a="1"/>
  <c r="Z47" i="1" a="1"/>
  <c r="Z55" i="1" a="1"/>
  <c r="Z63" i="1" a="1"/>
  <c r="Z67" i="1" a="1"/>
  <c r="Z71" i="1" a="1"/>
  <c r="Z79" i="1" a="1"/>
  <c r="Z87" i="1" a="1"/>
  <c r="Z95" i="1" a="1"/>
  <c r="Z99" i="1" a="1"/>
  <c r="Z103" i="1" a="1"/>
  <c r="Z111" i="1" a="1"/>
  <c r="Z115" i="1" a="1"/>
  <c r="Z119" i="1" a="1"/>
  <c r="Z123" i="1" a="1"/>
  <c r="Z131" i="1" a="1"/>
  <c r="Z135" i="1" a="1"/>
  <c r="Z143" i="1" a="1"/>
  <c r="Z147" i="1" a="1"/>
  <c r="Z151" i="1" a="1"/>
  <c r="Z155" i="1" a="1"/>
  <c r="Z159" i="1" a="1"/>
  <c r="Z167" i="1" a="1"/>
  <c r="AA7" i="1" a="1"/>
  <c r="AA11" i="1" a="1"/>
  <c r="AA15" i="1" a="1"/>
  <c r="AA19" i="1" a="1"/>
  <c r="AA23" i="1" a="1"/>
  <c r="AA27" i="1" a="1"/>
  <c r="AA31" i="1" a="1"/>
  <c r="AA35" i="1" a="1"/>
  <c r="AA39" i="1" a="1"/>
  <c r="AA43" i="1" a="1"/>
  <c r="AA47" i="1" a="1"/>
  <c r="AA51" i="1" a="1"/>
  <c r="AA55" i="1" a="1"/>
  <c r="AA59" i="1" a="1"/>
  <c r="AA63" i="1" a="1"/>
  <c r="AA67" i="1" a="1"/>
  <c r="AA71" i="1" a="1"/>
  <c r="AA75" i="1" a="1"/>
  <c r="AA79" i="1" a="1"/>
  <c r="AA83" i="1" a="1"/>
  <c r="AA87" i="1" a="1"/>
  <c r="AA91" i="1" a="1"/>
  <c r="AA95" i="1" a="1"/>
  <c r="AA99" i="1" a="1"/>
  <c r="AA103" i="1" a="1"/>
  <c r="AA107" i="1" a="1"/>
  <c r="AA111" i="1" a="1"/>
  <c r="AA115" i="1" a="1"/>
  <c r="AA151" i="1" a="1"/>
  <c r="AA131" i="1" a="1"/>
  <c r="AA155" i="1" a="1"/>
  <c r="AA159" i="1" a="1"/>
  <c r="AA119" i="1" a="1"/>
  <c r="AA123" i="1" a="1"/>
  <c r="AA167" i="1" a="1"/>
  <c r="AA127" i="1" a="1"/>
  <c r="AA163" i="1" a="1"/>
  <c r="AA135" i="1" a="1"/>
  <c r="AA147" i="1" a="1"/>
  <c r="AA139" i="1" a="1"/>
  <c r="AA143" i="1" a="1"/>
  <c r="W4" i="1" a="1"/>
  <c r="W8" i="1" a="1"/>
  <c r="W12" i="1" a="1"/>
  <c r="W16" i="1" a="1"/>
  <c r="W20" i="1" a="1"/>
  <c r="W24" i="1" a="1"/>
  <c r="W28" i="1" a="1"/>
  <c r="W32" i="1" a="1"/>
  <c r="W36" i="1" a="1"/>
  <c r="W40" i="1" a="1"/>
  <c r="W44" i="1" a="1"/>
  <c r="W48" i="1" a="1"/>
  <c r="W52" i="1" a="1"/>
  <c r="W56" i="1" a="1"/>
  <c r="W60" i="1" a="1"/>
  <c r="W64" i="1" a="1"/>
  <c r="W68" i="1" a="1"/>
  <c r="W72" i="1" a="1"/>
  <c r="W76" i="1" a="1"/>
  <c r="W80" i="1" a="1"/>
  <c r="W84" i="1" a="1"/>
  <c r="W88" i="1" a="1"/>
  <c r="W92" i="1" a="1"/>
  <c r="W96" i="1" a="1"/>
  <c r="W100" i="1" a="1"/>
  <c r="W104" i="1" a="1"/>
  <c r="W108" i="1" a="1"/>
  <c r="W112" i="1" a="1"/>
  <c r="W116" i="1" a="1"/>
  <c r="W120" i="1" a="1"/>
  <c r="W124" i="1" a="1"/>
  <c r="W128" i="1" a="1"/>
  <c r="W132" i="1" a="1"/>
  <c r="W136" i="1" a="1"/>
  <c r="W140" i="1" a="1"/>
  <c r="W144" i="1" a="1"/>
  <c r="W148" i="1" a="1"/>
  <c r="W152" i="1" a="1"/>
  <c r="W156" i="1" a="1"/>
  <c r="W160" i="1" a="1"/>
  <c r="W164" i="1" a="1"/>
  <c r="W168" i="1" a="1"/>
  <c r="X84" i="1" a="1"/>
  <c r="X104" i="1" a="1"/>
  <c r="X116" i="1" a="1"/>
  <c r="X120" i="1" a="1"/>
  <c r="X128" i="1" a="1"/>
  <c r="X132" i="1" a="1"/>
  <c r="X140" i="1" a="1"/>
  <c r="X148" i="1" a="1"/>
  <c r="X152" i="1" a="1"/>
  <c r="X156" i="1" a="1"/>
  <c r="X160" i="1" a="1"/>
  <c r="X164" i="1" a="1"/>
  <c r="X4" i="1" a="1"/>
  <c r="X8" i="1" a="1"/>
  <c r="X12" i="1" a="1"/>
  <c r="X16" i="1" a="1"/>
  <c r="X20" i="1" a="1"/>
  <c r="X24" i="1" a="1"/>
  <c r="X28" i="1" a="1"/>
  <c r="X32" i="1" a="1"/>
  <c r="X36" i="1" a="1"/>
  <c r="X40" i="1" a="1"/>
  <c r="X44" i="1" a="1"/>
  <c r="X48" i="1" a="1"/>
  <c r="X52" i="1" a="1"/>
  <c r="X56" i="1" a="1"/>
  <c r="X60" i="1" a="1"/>
  <c r="X64" i="1" a="1"/>
  <c r="X68" i="1" a="1"/>
  <c r="X72" i="1" a="1"/>
  <c r="X76" i="1" a="1"/>
  <c r="X80" i="1" a="1"/>
  <c r="X88" i="1" a="1"/>
  <c r="X92" i="1" a="1"/>
  <c r="X96" i="1" a="1"/>
  <c r="X100" i="1" a="1"/>
  <c r="X108" i="1" a="1"/>
  <c r="X112" i="1" a="1"/>
  <c r="X124" i="1" a="1"/>
  <c r="X136" i="1" a="1"/>
  <c r="X144" i="1" a="1"/>
  <c r="X168" i="1" a="1"/>
  <c r="W21" i="1" a="1"/>
  <c r="W37" i="1" a="1"/>
  <c r="W45" i="1" a="1"/>
  <c r="W57" i="1" a="1"/>
  <c r="W61" i="1" a="1"/>
  <c r="W65" i="1" a="1"/>
  <c r="W69" i="1" a="1"/>
  <c r="W73" i="1" a="1"/>
  <c r="W77" i="1" a="1"/>
  <c r="W81" i="1" a="1"/>
  <c r="W85" i="1" a="1"/>
  <c r="W89" i="1" a="1"/>
  <c r="W93" i="1" a="1"/>
  <c r="W5" i="1" a="1"/>
  <c r="W9" i="1" a="1"/>
  <c r="W13" i="1" a="1"/>
  <c r="W17" i="1" a="1"/>
  <c r="W25" i="1" a="1"/>
  <c r="W29" i="1" a="1"/>
  <c r="W33" i="1" a="1"/>
  <c r="W41" i="1" a="1"/>
  <c r="W49" i="1" a="1"/>
  <c r="W53" i="1" a="1"/>
  <c r="X13" i="1" a="1"/>
  <c r="X29" i="1" a="1"/>
  <c r="X37" i="1" a="1"/>
  <c r="X45" i="1" a="1"/>
  <c r="X49" i="1" a="1"/>
  <c r="X57" i="1" a="1"/>
  <c r="X69" i="1" a="1"/>
  <c r="X73" i="1" a="1"/>
  <c r="X77" i="1" a="1"/>
  <c r="X81" i="1" a="1"/>
  <c r="X85" i="1" a="1"/>
  <c r="X89" i="1" a="1"/>
  <c r="X93" i="1" a="1"/>
  <c r="X97" i="1" a="1"/>
  <c r="X101" i="1" a="1"/>
  <c r="X109" i="1" a="1"/>
  <c r="X113" i="1" a="1"/>
  <c r="X117" i="1" a="1"/>
  <c r="X121" i="1" a="1"/>
  <c r="X125" i="1" a="1"/>
  <c r="X129" i="1" a="1"/>
  <c r="X137" i="1" a="1"/>
  <c r="X145" i="1" a="1"/>
  <c r="X149" i="1" a="1"/>
  <c r="X153" i="1" a="1"/>
  <c r="X157" i="1" a="1"/>
  <c r="X165" i="1" a="1"/>
  <c r="X169" i="1" a="1"/>
  <c r="W155" i="1" a="1"/>
  <c r="X5" i="1" a="1"/>
  <c r="X9" i="1" a="1"/>
  <c r="X17" i="1" a="1"/>
  <c r="X21" i="1" a="1"/>
  <c r="X25" i="1" a="1"/>
  <c r="X33" i="1" a="1"/>
  <c r="X41" i="1" a="1"/>
  <c r="X53" i="1" a="1"/>
  <c r="X61" i="1" a="1"/>
  <c r="X65" i="1" a="1"/>
  <c r="X105" i="1" a="1"/>
  <c r="X133" i="1" a="1"/>
  <c r="X141" i="1" a="1"/>
  <c r="X161" i="1" a="1"/>
  <c r="W26" i="1" a="1"/>
  <c r="W54" i="1" a="1"/>
  <c r="W58" i="1" a="1"/>
  <c r="W70" i="1" a="1"/>
  <c r="W74" i="1" a="1"/>
  <c r="W78" i="1" a="1"/>
  <c r="W82" i="1" a="1"/>
  <c r="W86" i="1" a="1"/>
  <c r="W90" i="1" a="1"/>
  <c r="W94" i="1" a="1"/>
  <c r="W98" i="1" a="1"/>
  <c r="W102" i="1" a="1"/>
  <c r="W106" i="1" a="1"/>
  <c r="W110" i="1" a="1"/>
  <c r="W114" i="1" a="1"/>
  <c r="W118" i="1" a="1"/>
  <c r="W122" i="1" a="1"/>
  <c r="W126" i="1" a="1"/>
  <c r="W130" i="1" a="1"/>
  <c r="W134" i="1" a="1"/>
  <c r="W138" i="1" a="1"/>
  <c r="W142" i="1" a="1"/>
  <c r="W146" i="1" a="1"/>
  <c r="W150" i="1" a="1"/>
  <c r="W154" i="1" a="1"/>
  <c r="W158" i="1" a="1"/>
  <c r="W162" i="1" a="1"/>
  <c r="W166" i="1" a="1"/>
  <c r="W123" i="1" a="1"/>
  <c r="W151" i="1" a="1"/>
  <c r="W6" i="1" a="1"/>
  <c r="W10" i="1" a="1"/>
  <c r="W14" i="1" a="1"/>
  <c r="W18" i="1" a="1"/>
  <c r="W22" i="1" a="1"/>
  <c r="W30" i="1" a="1"/>
  <c r="W34" i="1" a="1"/>
  <c r="W38" i="1" a="1"/>
  <c r="W42" i="1" a="1"/>
  <c r="W46" i="1" a="1"/>
  <c r="W50" i="1" a="1"/>
  <c r="W62" i="1" a="1"/>
  <c r="W66" i="1" a="1"/>
  <c r="W143" i="1" a="1"/>
  <c r="W159" i="1" a="1"/>
  <c r="X26" i="1" a="1"/>
  <c r="X30" i="1" a="1"/>
  <c r="X34" i="1" a="1"/>
  <c r="X42" i="1" a="1"/>
  <c r="X46" i="1" a="1"/>
  <c r="X58" i="1" a="1"/>
  <c r="X62" i="1" a="1"/>
  <c r="X66" i="1" a="1"/>
  <c r="X74" i="1" a="1"/>
  <c r="X82" i="1" a="1"/>
  <c r="X90" i="1" a="1"/>
  <c r="X102" i="1" a="1"/>
  <c r="X110" i="1" a="1"/>
  <c r="X114" i="1" a="1"/>
  <c r="X118" i="1" a="1"/>
  <c r="X122" i="1" a="1"/>
  <c r="X130" i="1" a="1"/>
  <c r="X142" i="1" a="1"/>
  <c r="X146" i="1" a="1"/>
  <c r="X150" i="1" a="1"/>
  <c r="X154" i="1" a="1"/>
  <c r="X6" i="1" a="1"/>
  <c r="X10" i="1" a="1"/>
  <c r="X14" i="1" a="1"/>
  <c r="X18" i="1" a="1"/>
  <c r="X22" i="1" a="1"/>
  <c r="X38" i="1" a="1"/>
  <c r="X50" i="1" a="1"/>
  <c r="X54" i="1" a="1"/>
  <c r="X70" i="1" a="1"/>
  <c r="X78" i="1" a="1"/>
  <c r="X86" i="1" a="1"/>
  <c r="X94" i="1" a="1"/>
  <c r="X98" i="1" a="1"/>
  <c r="X106" i="1" a="1"/>
  <c r="X126" i="1" a="1"/>
  <c r="X134" i="1" a="1"/>
  <c r="X138" i="1" a="1"/>
  <c r="X158" i="1" a="1"/>
  <c r="X162" i="1" a="1"/>
  <c r="X166" i="1" a="1"/>
  <c r="W131" i="1" a="1"/>
  <c r="W147" i="1" a="1"/>
  <c r="W167" i="1" a="1"/>
  <c r="W11" i="1" a="1"/>
  <c r="W15" i="1" a="1"/>
  <c r="W19" i="1" a="1"/>
  <c r="W23" i="1" a="1"/>
  <c r="W27" i="1" a="1"/>
  <c r="W31" i="1" a="1"/>
  <c r="W35" i="1" a="1"/>
  <c r="W39" i="1" a="1"/>
  <c r="W43" i="1" a="1"/>
  <c r="W47" i="1" a="1"/>
  <c r="W51" i="1" a="1"/>
  <c r="W55" i="1" a="1"/>
  <c r="W59" i="1" a="1"/>
  <c r="W63" i="1" a="1"/>
  <c r="W67" i="1" a="1"/>
  <c r="W71" i="1" a="1"/>
  <c r="W75" i="1" a="1"/>
  <c r="W79" i="1" a="1"/>
  <c r="W83" i="1" a="1"/>
  <c r="W87" i="1" a="1"/>
  <c r="W91" i="1" a="1"/>
  <c r="W99" i="1" a="1"/>
  <c r="W107" i="1" a="1"/>
  <c r="W115" i="1" a="1"/>
  <c r="W119" i="1" a="1"/>
  <c r="W135" i="1" a="1"/>
  <c r="W139" i="1" a="1"/>
  <c r="W7" i="1" a="1"/>
  <c r="W95" i="1" a="1"/>
  <c r="W103" i="1" a="1"/>
  <c r="W111" i="1" a="1"/>
  <c r="W127" i="1" a="1"/>
  <c r="W163" i="1" a="1"/>
  <c r="X27" i="1" a="1"/>
  <c r="X47" i="1" a="1"/>
  <c r="X51" i="1" a="1"/>
  <c r="X59" i="1" a="1"/>
  <c r="X67" i="1" a="1"/>
  <c r="X71" i="1" a="1"/>
  <c r="X83" i="1" a="1"/>
  <c r="X91" i="1" a="1"/>
  <c r="X115" i="1" a="1"/>
  <c r="X119" i="1" a="1"/>
  <c r="X127" i="1" a="1"/>
  <c r="X131" i="1" a="1"/>
  <c r="X139" i="1" a="1"/>
  <c r="X147" i="1" a="1"/>
  <c r="X159" i="1" a="1"/>
  <c r="X7" i="1" a="1"/>
  <c r="X11" i="1" a="1"/>
  <c r="X15" i="1" a="1"/>
  <c r="X19" i="1" a="1"/>
  <c r="X23" i="1" a="1"/>
  <c r="X31" i="1" a="1"/>
  <c r="X35" i="1" a="1"/>
  <c r="X39" i="1" a="1"/>
  <c r="X43" i="1" a="1"/>
  <c r="X55" i="1" a="1"/>
  <c r="X63" i="1" a="1"/>
  <c r="X75" i="1" a="1"/>
  <c r="X79" i="1" a="1"/>
  <c r="X87" i="1" a="1"/>
  <c r="X95" i="1" a="1"/>
  <c r="X99" i="1" a="1"/>
  <c r="X103" i="1" a="1"/>
  <c r="X107" i="1" a="1"/>
  <c r="X111" i="1" a="1"/>
  <c r="X123" i="1" a="1"/>
  <c r="X135" i="1" a="1"/>
  <c r="X143" i="1" a="1"/>
  <c r="X151" i="1" a="1"/>
  <c r="X155" i="1" a="1"/>
  <c r="X163" i="1" a="1"/>
  <c r="X167" i="1" a="1"/>
  <c r="W97" i="1" a="1"/>
  <c r="W153" i="1" a="1"/>
  <c r="W109" i="1" a="1"/>
  <c r="W117" i="1" a="1"/>
  <c r="W121" i="1" a="1"/>
  <c r="W129" i="1" a="1"/>
  <c r="W101" i="1" a="1"/>
  <c r="W157" i="1" a="1"/>
  <c r="W113" i="1" a="1"/>
  <c r="W165" i="1" a="1"/>
  <c r="W145" i="1" a="1"/>
  <c r="W105" i="1" a="1"/>
  <c r="W161" i="1" a="1"/>
  <c r="W125" i="1" a="1"/>
  <c r="W133" i="1" a="1"/>
  <c r="W169" i="1" a="1"/>
  <c r="W137" i="1" a="1"/>
  <c r="W141" i="1" a="1"/>
  <c r="W149" i="1" a="1"/>
  <c r="AA3" i="1" a="1"/>
  <c r="Z3" i="1" a="1"/>
  <c r="X3" i="1" a="1"/>
  <c r="C14" i="1" l="1"/>
  <c r="C11" i="1"/>
  <c r="C13" i="1"/>
  <c r="C12" i="1" s="1"/>
  <c r="AA185" i="1"/>
  <c r="Z217" i="1"/>
  <c r="AA229" i="1"/>
  <c r="AA205" i="1"/>
  <c r="Z221" i="1"/>
  <c r="AA176" i="1"/>
  <c r="AA181" i="1"/>
  <c r="Z225" i="1"/>
  <c r="Z209" i="1"/>
  <c r="AA212" i="1"/>
  <c r="Z177" i="1"/>
  <c r="AA208" i="1"/>
  <c r="AA184" i="1"/>
  <c r="Z220" i="1"/>
  <c r="Z204" i="1"/>
  <c r="Z200" i="1"/>
  <c r="Z196" i="1"/>
  <c r="Z188" i="1"/>
  <c r="Z184" i="1"/>
  <c r="Z180" i="1"/>
  <c r="Z176" i="1"/>
  <c r="Z172" i="1"/>
  <c r="AA213" i="1"/>
  <c r="Z205" i="1"/>
  <c r="Z193" i="1"/>
  <c r="AA228" i="1"/>
  <c r="AA196" i="1"/>
  <c r="Z192" i="1"/>
  <c r="AA209" i="1"/>
  <c r="AA177" i="1"/>
  <c r="Z189" i="1"/>
  <c r="AA188" i="1"/>
  <c r="Z216" i="1"/>
  <c r="AA219" i="1"/>
  <c r="AA199" i="1"/>
  <c r="AA187" i="1"/>
  <c r="AA183" i="1"/>
  <c r="AA179" i="1"/>
  <c r="AA171" i="1"/>
  <c r="Z173" i="1"/>
  <c r="AA220" i="1"/>
  <c r="AA192" i="1"/>
  <c r="AA223" i="1"/>
  <c r="AA195" i="1"/>
  <c r="AA191" i="1"/>
  <c r="AA175" i="1"/>
  <c r="AA221" i="1"/>
  <c r="AA193" i="1"/>
  <c r="Z181" i="1"/>
  <c r="AA216" i="1"/>
  <c r="AA180" i="1"/>
  <c r="Z228" i="1"/>
  <c r="Z208" i="1"/>
  <c r="AA207" i="1"/>
  <c r="Z227" i="1"/>
  <c r="Z223" i="1"/>
  <c r="Z219" i="1"/>
  <c r="Z215" i="1"/>
  <c r="Z211" i="1"/>
  <c r="Z207" i="1"/>
  <c r="Z203" i="1"/>
  <c r="Z199" i="1"/>
  <c r="Z195" i="1"/>
  <c r="Z191" i="1"/>
  <c r="Z187" i="1"/>
  <c r="Z183" i="1"/>
  <c r="Z179" i="1"/>
  <c r="Z175" i="1"/>
  <c r="Z171" i="1"/>
  <c r="AA225" i="1"/>
  <c r="AA197" i="1"/>
  <c r="Z197" i="1"/>
  <c r="AA204" i="1"/>
  <c r="AA211" i="1"/>
  <c r="AA230" i="1"/>
  <c r="AA210" i="1"/>
  <c r="AA198" i="1"/>
  <c r="AA190" i="1"/>
  <c r="AA182" i="1"/>
  <c r="AA178" i="1"/>
  <c r="AA170" i="1"/>
  <c r="AA201" i="1"/>
  <c r="AA173" i="1"/>
  <c r="Z229" i="1"/>
  <c r="Z185" i="1"/>
  <c r="AA200" i="1"/>
  <c r="Z224" i="1"/>
  <c r="AA215" i="1"/>
  <c r="AA218" i="1"/>
  <c r="AA202" i="1"/>
  <c r="AA174" i="1"/>
  <c r="AA217" i="1"/>
  <c r="AA189" i="1"/>
  <c r="Z213" i="1"/>
  <c r="Z201" i="1"/>
  <c r="AA224" i="1"/>
  <c r="AA172" i="1"/>
  <c r="Z212" i="1"/>
  <c r="AA227" i="1"/>
  <c r="AA203" i="1"/>
  <c r="AA226" i="1"/>
  <c r="AA222" i="1"/>
  <c r="AA214" i="1"/>
  <c r="AA206" i="1"/>
  <c r="AA194" i="1"/>
  <c r="AA186" i="1"/>
  <c r="Z230" i="1"/>
  <c r="Z226" i="1"/>
  <c r="Z222" i="1"/>
  <c r="Z218" i="1"/>
  <c r="Z214" i="1"/>
  <c r="Z210" i="1"/>
  <c r="Z206" i="1"/>
  <c r="Z202" i="1"/>
  <c r="Z198" i="1"/>
  <c r="Z194" i="1"/>
  <c r="Z190" i="1"/>
  <c r="Z186" i="1"/>
  <c r="Z182" i="1"/>
  <c r="Z178" i="1"/>
  <c r="Z174" i="1"/>
  <c r="Z170" i="1"/>
  <c r="W3" i="1"/>
  <c r="AA143" i="1"/>
  <c r="AA139" i="1"/>
  <c r="AA147" i="1"/>
  <c r="AA135" i="1"/>
  <c r="AA163" i="1"/>
  <c r="AA127" i="1"/>
  <c r="AA167" i="1"/>
  <c r="AA123" i="1"/>
  <c r="AA119" i="1"/>
  <c r="AA159" i="1"/>
  <c r="AA155" i="1"/>
  <c r="AA131" i="1"/>
  <c r="AA151" i="1"/>
  <c r="AA115" i="1"/>
  <c r="AA111" i="1"/>
  <c r="AA107" i="1"/>
  <c r="AA103" i="1"/>
  <c r="AA99" i="1"/>
  <c r="AA95" i="1"/>
  <c r="AA91" i="1"/>
  <c r="AA87" i="1"/>
  <c r="AA83" i="1"/>
  <c r="AA79" i="1"/>
  <c r="AA75" i="1"/>
  <c r="AA71" i="1"/>
  <c r="AA67" i="1"/>
  <c r="AA63" i="1"/>
  <c r="AA59" i="1"/>
  <c r="AA55" i="1"/>
  <c r="AA51" i="1"/>
  <c r="AA47" i="1"/>
  <c r="AA43" i="1"/>
  <c r="AA39" i="1"/>
  <c r="AA35" i="1"/>
  <c r="AA31" i="1"/>
  <c r="AA27" i="1"/>
  <c r="AA23" i="1"/>
  <c r="AA19" i="1"/>
  <c r="AA15" i="1"/>
  <c r="AA11" i="1"/>
  <c r="AA7" i="1"/>
  <c r="Z167" i="1"/>
  <c r="Z159" i="1"/>
  <c r="Z155" i="1"/>
  <c r="Z151" i="1"/>
  <c r="Z147" i="1"/>
  <c r="Z143" i="1"/>
  <c r="Z135" i="1"/>
  <c r="Z131" i="1"/>
  <c r="Z123" i="1"/>
  <c r="Z119" i="1"/>
  <c r="Z115" i="1"/>
  <c r="Z111" i="1"/>
  <c r="Z103" i="1"/>
  <c r="Z99" i="1"/>
  <c r="Z95" i="1"/>
  <c r="Z87" i="1"/>
  <c r="Z79" i="1"/>
  <c r="Z71" i="1"/>
  <c r="Z67" i="1"/>
  <c r="Z63" i="1"/>
  <c r="Z55" i="1"/>
  <c r="Z47" i="1"/>
  <c r="Z35" i="1"/>
  <c r="Z27" i="1"/>
  <c r="Z23" i="1"/>
  <c r="Z15" i="1"/>
  <c r="Z7" i="1"/>
  <c r="Z163" i="1"/>
  <c r="Z139" i="1"/>
  <c r="Z127" i="1"/>
  <c r="Z107" i="1"/>
  <c r="Z91" i="1"/>
  <c r="Z83" i="1"/>
  <c r="Z75" i="1"/>
  <c r="Z59" i="1"/>
  <c r="Z51" i="1"/>
  <c r="Z43" i="1"/>
  <c r="Z39" i="1"/>
  <c r="Z31" i="1"/>
  <c r="Z19" i="1"/>
  <c r="Z11" i="1"/>
  <c r="AA154" i="1"/>
  <c r="AA150" i="1"/>
  <c r="AA130" i="1"/>
  <c r="AA126" i="1"/>
  <c r="AA122" i="1"/>
  <c r="AA118" i="1"/>
  <c r="AA114" i="1"/>
  <c r="AA110" i="1"/>
  <c r="AA106" i="1"/>
  <c r="AA102" i="1"/>
  <c r="AA98" i="1"/>
  <c r="AA94" i="1"/>
  <c r="AA90" i="1"/>
  <c r="AA86" i="1"/>
  <c r="AA82" i="1"/>
  <c r="AA78" i="1"/>
  <c r="AA74" i="1"/>
  <c r="AA70" i="1"/>
  <c r="AA66" i="1"/>
  <c r="AA62" i="1"/>
  <c r="AA58" i="1"/>
  <c r="AA54" i="1"/>
  <c r="AA50" i="1"/>
  <c r="AA46" i="1"/>
  <c r="AA42" i="1"/>
  <c r="AA38" i="1"/>
  <c r="AA34" i="1"/>
  <c r="AA30" i="1"/>
  <c r="AA26" i="1"/>
  <c r="AA18" i="1"/>
  <c r="AA14" i="1"/>
  <c r="AA6" i="1"/>
  <c r="AA22" i="1"/>
  <c r="AA10" i="1"/>
  <c r="AA134" i="1"/>
  <c r="Z166" i="1"/>
  <c r="Z154" i="1"/>
  <c r="Z146" i="1"/>
  <c r="Z142" i="1"/>
  <c r="Z130" i="1"/>
  <c r="Z122" i="1"/>
  <c r="Z118" i="1"/>
  <c r="Z110" i="1"/>
  <c r="Z98" i="1"/>
  <c r="Z90" i="1"/>
  <c r="Z82" i="1"/>
  <c r="Z78" i="1"/>
  <c r="Z74" i="1"/>
  <c r="Z62" i="1"/>
  <c r="Z58" i="1"/>
  <c r="Z54" i="1"/>
  <c r="Z50" i="1"/>
  <c r="Z42" i="1"/>
  <c r="Z38" i="1"/>
  <c r="Z34" i="1"/>
  <c r="Z30" i="1"/>
  <c r="Z22" i="1"/>
  <c r="Z18" i="1"/>
  <c r="Z14" i="1"/>
  <c r="Z10" i="1"/>
  <c r="Z6" i="1"/>
  <c r="Z162" i="1"/>
  <c r="Z158" i="1"/>
  <c r="Z150" i="1"/>
  <c r="Z138" i="1"/>
  <c r="Z134" i="1"/>
  <c r="Z126" i="1"/>
  <c r="Z114" i="1"/>
  <c r="Z106" i="1"/>
  <c r="Z102" i="1"/>
  <c r="Z94" i="1"/>
  <c r="Z86" i="1"/>
  <c r="Z70" i="1"/>
  <c r="Z66" i="1"/>
  <c r="Z46" i="1"/>
  <c r="Z26" i="1"/>
  <c r="AA65" i="1"/>
  <c r="AA57" i="1"/>
  <c r="AA53" i="1"/>
  <c r="AA49" i="1"/>
  <c r="AA41" i="1"/>
  <c r="AA37" i="1"/>
  <c r="AA33" i="1"/>
  <c r="AA29" i="1"/>
  <c r="AA25" i="1"/>
  <c r="AA21" i="1"/>
  <c r="AA17" i="1"/>
  <c r="AA13" i="1"/>
  <c r="AA9" i="1"/>
  <c r="AA5" i="1"/>
  <c r="AA142" i="1"/>
  <c r="AA169" i="1"/>
  <c r="AA165" i="1"/>
  <c r="AA161" i="1"/>
  <c r="AA157" i="1"/>
  <c r="AA153" i="1"/>
  <c r="AA149" i="1"/>
  <c r="AA145" i="1"/>
  <c r="AA141" i="1"/>
  <c r="AA137" i="1"/>
  <c r="AA133" i="1"/>
  <c r="AA129" i="1"/>
  <c r="AA125" i="1"/>
  <c r="AA121" i="1"/>
  <c r="AA117" i="1"/>
  <c r="AA113" i="1"/>
  <c r="AA109" i="1"/>
  <c r="AA105" i="1"/>
  <c r="AA101" i="1"/>
  <c r="AA97" i="1"/>
  <c r="AA93" i="1"/>
  <c r="AA89" i="1"/>
  <c r="AA85" i="1"/>
  <c r="AA81" i="1"/>
  <c r="AA77" i="1"/>
  <c r="AA73" i="1"/>
  <c r="AA69" i="1"/>
  <c r="AA61" i="1"/>
  <c r="AA45" i="1"/>
  <c r="AA162" i="1"/>
  <c r="AA158" i="1"/>
  <c r="AA146" i="1"/>
  <c r="Z169" i="1"/>
  <c r="Z165" i="1"/>
  <c r="Z161" i="1"/>
  <c r="Z157" i="1"/>
  <c r="Z153" i="1"/>
  <c r="Z149" i="1"/>
  <c r="Z141" i="1"/>
  <c r="Z129" i="1"/>
  <c r="Z125" i="1"/>
  <c r="Z121" i="1"/>
  <c r="Z117" i="1"/>
  <c r="Z113" i="1"/>
  <c r="Z109" i="1"/>
  <c r="Z105" i="1"/>
  <c r="Z97" i="1"/>
  <c r="Z93" i="1"/>
  <c r="Z89" i="1"/>
  <c r="Z85" i="1"/>
  <c r="Z81" i="1"/>
  <c r="Z77" i="1"/>
  <c r="Z73" i="1"/>
  <c r="Z69" i="1"/>
  <c r="Z65" i="1"/>
  <c r="Z61" i="1"/>
  <c r="Z57" i="1"/>
  <c r="Z53" i="1"/>
  <c r="Z49" i="1"/>
  <c r="Z45" i="1"/>
  <c r="Z41" i="1"/>
  <c r="Z37" i="1"/>
  <c r="Z33" i="1"/>
  <c r="Z29" i="1"/>
  <c r="Z25" i="1"/>
  <c r="Z21" i="1"/>
  <c r="Z17" i="1"/>
  <c r="Z13" i="1"/>
  <c r="Z9" i="1"/>
  <c r="Z5" i="1"/>
  <c r="Z145" i="1"/>
  <c r="Z137" i="1"/>
  <c r="Z133" i="1"/>
  <c r="Z101" i="1"/>
  <c r="AA140" i="1"/>
  <c r="AA136" i="1"/>
  <c r="AA132" i="1"/>
  <c r="AA124" i="1"/>
  <c r="AA120" i="1"/>
  <c r="AA112" i="1"/>
  <c r="AA108" i="1"/>
  <c r="AA100" i="1"/>
  <c r="AA92" i="1"/>
  <c r="AA88" i="1"/>
  <c r="AA84" i="1"/>
  <c r="AA80" i="1"/>
  <c r="AA72" i="1"/>
  <c r="AA68" i="1"/>
  <c r="AA64" i="1"/>
  <c r="AA60" i="1"/>
  <c r="AA56" i="1"/>
  <c r="AA52" i="1"/>
  <c r="AA48" i="1"/>
  <c r="AA44" i="1"/>
  <c r="AA40" i="1"/>
  <c r="AA36" i="1"/>
  <c r="AA32" i="1"/>
  <c r="AA28" i="1"/>
  <c r="AA24" i="1"/>
  <c r="AA20" i="1"/>
  <c r="AA16" i="1"/>
  <c r="AA12" i="1"/>
  <c r="AA8" i="1"/>
  <c r="AA4" i="1"/>
  <c r="AA166" i="1"/>
  <c r="AA138" i="1"/>
  <c r="AA168" i="1"/>
  <c r="AA164" i="1"/>
  <c r="AA160" i="1"/>
  <c r="AA156" i="1"/>
  <c r="AA152" i="1"/>
  <c r="AA148" i="1"/>
  <c r="AA144" i="1"/>
  <c r="AA128" i="1"/>
  <c r="AA116" i="1"/>
  <c r="AA104" i="1"/>
  <c r="AA96" i="1"/>
  <c r="AA76" i="1"/>
  <c r="Z168" i="1"/>
  <c r="Z164" i="1"/>
  <c r="Z160" i="1"/>
  <c r="Z156" i="1"/>
  <c r="Z152" i="1"/>
  <c r="Z148" i="1"/>
  <c r="Z144" i="1"/>
  <c r="Z140" i="1"/>
  <c r="Z136" i="1"/>
  <c r="Z132" i="1"/>
  <c r="Z128" i="1"/>
  <c r="Z124" i="1"/>
  <c r="Z120" i="1"/>
  <c r="Z116" i="1"/>
  <c r="Z112" i="1"/>
  <c r="Z108" i="1"/>
  <c r="Z104" i="1"/>
  <c r="Z100" i="1"/>
  <c r="Z96" i="1"/>
  <c r="Z92" i="1"/>
  <c r="Z88" i="1"/>
  <c r="Z84" i="1"/>
  <c r="Z80" i="1"/>
  <c r="Z76" i="1"/>
  <c r="Z72" i="1"/>
  <c r="Z68" i="1"/>
  <c r="Z64" i="1"/>
  <c r="Z60" i="1"/>
  <c r="Z56" i="1"/>
  <c r="Z52" i="1"/>
  <c r="Z48" i="1"/>
  <c r="Z44" i="1"/>
  <c r="Z40" i="1"/>
  <c r="Z36" i="1"/>
  <c r="Z32" i="1"/>
  <c r="Z28" i="1"/>
  <c r="Z24" i="1"/>
  <c r="Z20" i="1"/>
  <c r="Z16" i="1"/>
  <c r="Z12" i="1"/>
  <c r="Z8" i="1"/>
  <c r="Z4" i="1"/>
  <c r="W149" i="1"/>
  <c r="W141" i="1"/>
  <c r="W137" i="1"/>
  <c r="W169" i="1"/>
  <c r="W133" i="1"/>
  <c r="W125" i="1"/>
  <c r="W161" i="1"/>
  <c r="W105" i="1"/>
  <c r="W145" i="1"/>
  <c r="W165" i="1"/>
  <c r="W113" i="1"/>
  <c r="W157" i="1"/>
  <c r="W101" i="1"/>
  <c r="W129" i="1"/>
  <c r="W121" i="1"/>
  <c r="W117" i="1"/>
  <c r="W109" i="1"/>
  <c r="W153" i="1"/>
  <c r="W97" i="1"/>
  <c r="X167" i="1"/>
  <c r="X163" i="1"/>
  <c r="X155" i="1"/>
  <c r="X151" i="1"/>
  <c r="X143" i="1"/>
  <c r="X135" i="1"/>
  <c r="X123" i="1"/>
  <c r="X111" i="1"/>
  <c r="X107" i="1"/>
  <c r="X103" i="1"/>
  <c r="X99" i="1"/>
  <c r="X95" i="1"/>
  <c r="X87" i="1"/>
  <c r="X79" i="1"/>
  <c r="X75" i="1"/>
  <c r="X63" i="1"/>
  <c r="X55" i="1"/>
  <c r="X43" i="1"/>
  <c r="X39" i="1"/>
  <c r="X35" i="1"/>
  <c r="X31" i="1"/>
  <c r="X23" i="1"/>
  <c r="X19" i="1"/>
  <c r="X15" i="1"/>
  <c r="X11" i="1"/>
  <c r="X7" i="1"/>
  <c r="X159" i="1"/>
  <c r="X147" i="1"/>
  <c r="X139" i="1"/>
  <c r="X131" i="1"/>
  <c r="X127" i="1"/>
  <c r="X119" i="1"/>
  <c r="X115" i="1"/>
  <c r="X91" i="1"/>
  <c r="X83" i="1"/>
  <c r="X71" i="1"/>
  <c r="X67" i="1"/>
  <c r="X59" i="1"/>
  <c r="X51" i="1"/>
  <c r="X47" i="1"/>
  <c r="X27" i="1"/>
  <c r="W163" i="1"/>
  <c r="W127" i="1"/>
  <c r="W111" i="1"/>
  <c r="W103" i="1"/>
  <c r="W95" i="1"/>
  <c r="W7" i="1"/>
  <c r="W139" i="1"/>
  <c r="W135" i="1"/>
  <c r="W119" i="1"/>
  <c r="W115" i="1"/>
  <c r="W107" i="1"/>
  <c r="W99" i="1"/>
  <c r="W91" i="1"/>
  <c r="W87" i="1"/>
  <c r="W83" i="1"/>
  <c r="W79" i="1"/>
  <c r="W75" i="1"/>
  <c r="W71" i="1"/>
  <c r="W67" i="1"/>
  <c r="W63" i="1"/>
  <c r="W59" i="1"/>
  <c r="W55" i="1"/>
  <c r="W51" i="1"/>
  <c r="W47" i="1"/>
  <c r="W43" i="1"/>
  <c r="W39" i="1"/>
  <c r="W35" i="1"/>
  <c r="W31" i="1"/>
  <c r="W27" i="1"/>
  <c r="W23" i="1"/>
  <c r="W19" i="1"/>
  <c r="W15" i="1"/>
  <c r="W11" i="1"/>
  <c r="W167" i="1"/>
  <c r="W147" i="1"/>
  <c r="W131" i="1"/>
  <c r="X166" i="1"/>
  <c r="X162" i="1"/>
  <c r="X158" i="1"/>
  <c r="X138" i="1"/>
  <c r="X134" i="1"/>
  <c r="X126" i="1"/>
  <c r="X106" i="1"/>
  <c r="X98" i="1"/>
  <c r="X94" i="1"/>
  <c r="X86" i="1"/>
  <c r="X78" i="1"/>
  <c r="X70" i="1"/>
  <c r="X54" i="1"/>
  <c r="X50" i="1"/>
  <c r="X38" i="1"/>
  <c r="X22" i="1"/>
  <c r="X18" i="1"/>
  <c r="X14" i="1"/>
  <c r="X10" i="1"/>
  <c r="X6" i="1"/>
  <c r="X154" i="1"/>
  <c r="X150" i="1"/>
  <c r="X146" i="1"/>
  <c r="X142" i="1"/>
  <c r="X130" i="1"/>
  <c r="X122" i="1"/>
  <c r="X118" i="1"/>
  <c r="X114" i="1"/>
  <c r="X110" i="1"/>
  <c r="X102" i="1"/>
  <c r="X90" i="1"/>
  <c r="X82" i="1"/>
  <c r="X74" i="1"/>
  <c r="X66" i="1"/>
  <c r="X62" i="1"/>
  <c r="X58" i="1"/>
  <c r="X46" i="1"/>
  <c r="X42" i="1"/>
  <c r="X34" i="1"/>
  <c r="X30" i="1"/>
  <c r="X26" i="1"/>
  <c r="W159" i="1"/>
  <c r="W143" i="1"/>
  <c r="W66" i="1"/>
  <c r="W62" i="1"/>
  <c r="W50" i="1"/>
  <c r="W46" i="1"/>
  <c r="W42" i="1"/>
  <c r="W38" i="1"/>
  <c r="W34" i="1"/>
  <c r="W30" i="1"/>
  <c r="W22" i="1"/>
  <c r="W18" i="1"/>
  <c r="W14" i="1"/>
  <c r="W10" i="1"/>
  <c r="W6" i="1"/>
  <c r="W151" i="1"/>
  <c r="W123" i="1"/>
  <c r="W166" i="1"/>
  <c r="W162" i="1"/>
  <c r="W158" i="1"/>
  <c r="W154" i="1"/>
  <c r="W150" i="1"/>
  <c r="W146" i="1"/>
  <c r="W142" i="1"/>
  <c r="W138" i="1"/>
  <c r="W134" i="1"/>
  <c r="W130" i="1"/>
  <c r="W126" i="1"/>
  <c r="W122" i="1"/>
  <c r="W118" i="1"/>
  <c r="W114" i="1"/>
  <c r="W110" i="1"/>
  <c r="W106" i="1"/>
  <c r="W102" i="1"/>
  <c r="W98" i="1"/>
  <c r="W94" i="1"/>
  <c r="W90" i="1"/>
  <c r="W86" i="1"/>
  <c r="W82" i="1"/>
  <c r="W78" i="1"/>
  <c r="W74" i="1"/>
  <c r="W70" i="1"/>
  <c r="W58" i="1"/>
  <c r="W54" i="1"/>
  <c r="W26" i="1"/>
  <c r="X161" i="1"/>
  <c r="X141" i="1"/>
  <c r="X133" i="1"/>
  <c r="X105" i="1"/>
  <c r="X65" i="1"/>
  <c r="X61" i="1"/>
  <c r="X53" i="1"/>
  <c r="X41" i="1"/>
  <c r="X33" i="1"/>
  <c r="X25" i="1"/>
  <c r="X21" i="1"/>
  <c r="X17" i="1"/>
  <c r="X9" i="1"/>
  <c r="X5" i="1"/>
  <c r="W155" i="1"/>
  <c r="X169" i="1"/>
  <c r="X165" i="1"/>
  <c r="X157" i="1"/>
  <c r="X153" i="1"/>
  <c r="X149" i="1"/>
  <c r="X145" i="1"/>
  <c r="X137" i="1"/>
  <c r="X129" i="1"/>
  <c r="X125" i="1"/>
  <c r="X121" i="1"/>
  <c r="X117" i="1"/>
  <c r="X113" i="1"/>
  <c r="X109" i="1"/>
  <c r="X101" i="1"/>
  <c r="X97" i="1"/>
  <c r="X93" i="1"/>
  <c r="X89" i="1"/>
  <c r="X85" i="1"/>
  <c r="X81" i="1"/>
  <c r="X77" i="1"/>
  <c r="X73" i="1"/>
  <c r="X69" i="1"/>
  <c r="X57" i="1"/>
  <c r="X49" i="1"/>
  <c r="X45" i="1"/>
  <c r="X37" i="1"/>
  <c r="X29" i="1"/>
  <c r="X13" i="1"/>
  <c r="W53" i="1"/>
  <c r="W49" i="1"/>
  <c r="W41" i="1"/>
  <c r="W33" i="1"/>
  <c r="W29" i="1"/>
  <c r="W25" i="1"/>
  <c r="W17" i="1"/>
  <c r="W13" i="1"/>
  <c r="W9" i="1"/>
  <c r="W5" i="1"/>
  <c r="W93" i="1"/>
  <c r="W89" i="1"/>
  <c r="W85" i="1"/>
  <c r="W81" i="1"/>
  <c r="W77" i="1"/>
  <c r="W73" i="1"/>
  <c r="W69" i="1"/>
  <c r="W65" i="1"/>
  <c r="W61" i="1"/>
  <c r="W57" i="1"/>
  <c r="W45" i="1"/>
  <c r="W37" i="1"/>
  <c r="W21" i="1"/>
  <c r="X168" i="1"/>
  <c r="X144" i="1"/>
  <c r="X136" i="1"/>
  <c r="X124" i="1"/>
  <c r="X112" i="1"/>
  <c r="X108" i="1"/>
  <c r="X100" i="1"/>
  <c r="X96" i="1"/>
  <c r="X92" i="1"/>
  <c r="X88" i="1"/>
  <c r="X80" i="1"/>
  <c r="X76" i="1"/>
  <c r="X72" i="1"/>
  <c r="X68" i="1"/>
  <c r="X64" i="1"/>
  <c r="X60" i="1"/>
  <c r="X56" i="1"/>
  <c r="X52" i="1"/>
  <c r="X48" i="1"/>
  <c r="X44" i="1"/>
  <c r="X40" i="1"/>
  <c r="X36" i="1"/>
  <c r="X32" i="1"/>
  <c r="X28" i="1"/>
  <c r="X24" i="1"/>
  <c r="X20" i="1"/>
  <c r="X16" i="1"/>
  <c r="X12" i="1"/>
  <c r="X8" i="1"/>
  <c r="X4" i="1"/>
  <c r="X164" i="1"/>
  <c r="X160" i="1"/>
  <c r="X156" i="1"/>
  <c r="X152" i="1"/>
  <c r="X148" i="1"/>
  <c r="X140" i="1"/>
  <c r="X132" i="1"/>
  <c r="X128" i="1"/>
  <c r="X120" i="1"/>
  <c r="X116" i="1"/>
  <c r="X104" i="1"/>
  <c r="X84" i="1"/>
  <c r="W168" i="1"/>
  <c r="W164" i="1"/>
  <c r="W160" i="1"/>
  <c r="W156" i="1"/>
  <c r="W152" i="1"/>
  <c r="W148" i="1"/>
  <c r="W144" i="1"/>
  <c r="W140" i="1"/>
  <c r="W136" i="1"/>
  <c r="W132" i="1"/>
  <c r="W128" i="1"/>
  <c r="W124" i="1"/>
  <c r="W120" i="1"/>
  <c r="W116" i="1"/>
  <c r="W112" i="1"/>
  <c r="W108" i="1"/>
  <c r="W104" i="1"/>
  <c r="W100" i="1"/>
  <c r="W96" i="1"/>
  <c r="W92" i="1"/>
  <c r="W88" i="1"/>
  <c r="W84" i="1"/>
  <c r="W80" i="1"/>
  <c r="W76" i="1"/>
  <c r="W72" i="1"/>
  <c r="W68" i="1"/>
  <c r="W64" i="1"/>
  <c r="W60" i="1"/>
  <c r="W56" i="1"/>
  <c r="W52" i="1"/>
  <c r="W48" i="1"/>
  <c r="W44" i="1"/>
  <c r="W40" i="1"/>
  <c r="W36" i="1"/>
  <c r="W32" i="1"/>
  <c r="W28" i="1"/>
  <c r="W24" i="1"/>
  <c r="W20" i="1"/>
  <c r="W16" i="1"/>
  <c r="W12" i="1"/>
  <c r="W8" i="1"/>
  <c r="W4" i="1"/>
  <c r="AA3" i="1"/>
  <c r="Z3" i="1"/>
  <c r="X3" i="1"/>
  <c r="D14" i="1"/>
  <c r="F11" i="1" a="1"/>
  <c r="F11" i="1" l="1"/>
  <c r="F12" i="1" s="1"/>
  <c r="C15" i="1"/>
  <c r="E11" i="1" a="1"/>
  <c r="E14" i="1" a="1"/>
  <c r="F14" i="1" a="1"/>
  <c r="D12" i="1" a="1"/>
  <c r="E12" i="1" a="1"/>
  <c r="F14" i="1" l="1"/>
  <c r="E14" i="1"/>
  <c r="E11" i="1"/>
  <c r="E12" i="1"/>
  <c r="D12" i="1"/>
  <c r="H11" i="1" a="1"/>
  <c r="H12" i="1" a="1"/>
  <c r="H14" i="1" a="1"/>
  <c r="G11" i="1" a="1"/>
  <c r="G14" i="1" a="1"/>
  <c r="G12" i="1" a="1"/>
  <c r="H11" i="1" l="1"/>
  <c r="H12" i="1"/>
  <c r="H14" i="1"/>
  <c r="E15" i="1"/>
  <c r="K9" i="1" s="1"/>
  <c r="G11" i="1"/>
  <c r="G14" i="1"/>
  <c r="G12" i="1"/>
  <c r="E13" i="1"/>
  <c r="F15" i="1" a="1"/>
  <c r="D15" i="1" a="1"/>
  <c r="G15" i="1" a="1"/>
  <c r="H15" i="1" a="1"/>
  <c r="H13" i="1" a="1"/>
  <c r="F13" i="1" a="1"/>
  <c r="G13" i="1" a="1"/>
  <c r="D13" i="1" a="1"/>
  <c r="H13" i="1" l="1"/>
  <c r="H15" i="1"/>
  <c r="G15" i="1"/>
  <c r="D15" i="1"/>
  <c r="F15" i="1"/>
  <c r="D13" i="1"/>
  <c r="F13" i="1"/>
  <c r="K10" i="1"/>
  <c r="G13" i="1"/>
  <c r="K12" i="1" l="1"/>
  <c r="K14" i="1" s="1"/>
  <c r="K15" i="1"/>
  <c r="K11" i="1"/>
  <c r="K13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<sst xmlns="http://schemas.openxmlformats.org/spreadsheetml/2006/main" count="47" uniqueCount="39">
  <si>
    <t>input parameters</t>
  </si>
  <si>
    <t>K</t>
  </si>
  <si>
    <t>látka 1</t>
  </si>
  <si>
    <t>látka 2</t>
  </si>
  <si>
    <r>
      <rPr>
        <sz val="11"/>
        <color theme="1"/>
        <rFont val="Aptos Narrow"/>
        <family val="2"/>
      </rPr>
      <t>η_</t>
    </r>
    <r>
      <rPr>
        <sz val="11"/>
        <color theme="1"/>
        <rFont val="Calibri"/>
        <family val="2"/>
      </rPr>
      <t>comp</t>
    </r>
  </si>
  <si>
    <t>T_eva</t>
  </si>
  <si>
    <t>T_cond</t>
  </si>
  <si>
    <r>
      <rPr>
        <sz val="11"/>
        <color theme="1"/>
        <rFont val="Aptos Narrow"/>
        <family val="2"/>
      </rPr>
      <t>Δ</t>
    </r>
    <r>
      <rPr>
        <sz val="11"/>
        <color theme="1"/>
        <rFont val="Calibri"/>
        <family val="2"/>
        <scheme val="minor"/>
      </rPr>
      <t>T_SH</t>
    </r>
  </si>
  <si>
    <r>
      <rPr>
        <sz val="11"/>
        <color theme="1"/>
        <rFont val="Aptos Narrow"/>
        <family val="2"/>
      </rPr>
      <t>Δ</t>
    </r>
    <r>
      <rPr>
        <sz val="11"/>
        <color theme="1"/>
        <rFont val="Calibri"/>
        <family val="2"/>
        <scheme val="minor"/>
      </rPr>
      <t>T_SC</t>
    </r>
  </si>
  <si>
    <t>p [kPa]</t>
  </si>
  <si>
    <t>T [°C]</t>
  </si>
  <si>
    <t>°C</t>
  </si>
  <si>
    <t>Q_out</t>
  </si>
  <si>
    <t>kW</t>
  </si>
  <si>
    <t>h [kJ/kg]</t>
  </si>
  <si>
    <t>s [kJ/kg]</t>
  </si>
  <si>
    <t>2s</t>
  </si>
  <si>
    <t>q_in</t>
  </si>
  <si>
    <t>q_out</t>
  </si>
  <si>
    <t>kJ/kg</t>
  </si>
  <si>
    <t>kg/s</t>
  </si>
  <si>
    <t>w_cycle</t>
  </si>
  <si>
    <t>W_comp</t>
  </si>
  <si>
    <t>ρ [kg/m3]</t>
  </si>
  <si>
    <t>COP_mix</t>
  </si>
  <si>
    <t>VHC_mix</t>
  </si>
  <si>
    <t>Bod</t>
  </si>
  <si>
    <t>m_dot</t>
  </si>
  <si>
    <t>COP</t>
  </si>
  <si>
    <t>x1</t>
  </si>
  <si>
    <t>T</t>
  </si>
  <si>
    <t>s1</t>
  </si>
  <si>
    <t>s2</t>
  </si>
  <si>
    <t>R1336MZZE</t>
  </si>
  <si>
    <t>R1233ZDE</t>
  </si>
  <si>
    <t>REFPROP::R1233ZDE</t>
  </si>
  <si>
    <t>R1234ZEZ</t>
  </si>
  <si>
    <t>x</t>
  </si>
  <si>
    <t>REFPROP::R1233ZDE[0.5]&amp;R1234ZEZ[0.5]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</si>
</sst>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Aptos Narrow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2" borderId="0" xfId="0" applyFill="1"/>
    <xf numFmtId="0" fontId="3" fillId="0" borderId="0" xfId="0" applyFont="1"/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9" fontId="0" fillId="2" borderId="0" xfId="0" applyNumberFormat="1" applyFill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4"/>
          <c:order val="0"/>
          <c:tx>
            <c:strRef>
              <c:f>List1!$Y$2</c:f>
              <c:strCache>
                <c:ptCount val="1"/>
                <c:pt idx="0">
                  <c:v>T</c:v>
                </c:pt>
              </c:strCache>
            </c:strRef>
          </c:tx>
          <c:marker>
            <c:symbol val="none"/>
          </c:marker>
          <c:xVal>
            <c:numRef>
              <c:f>List1!$X$3:$X$230</c:f>
              <c:numCache>
                <c:formatCode>General</c:formatCode>
                <c:ptCount val="228"/>
                <c:pt idx="0">
                  <c:v>1.7454097047617863</c:v>
                </c:pt>
                <c:pt idx="1">
                  <c:v>1.7452439723278919</c:v>
                </c:pt>
                <c:pt idx="2">
                  <c:v>1.7450954296239909</c:v>
                </c:pt>
                <c:pt idx="3">
                  <c:v>1.7449637387150259</c:v>
                </c:pt>
                <c:pt idx="4">
                  <c:v>1.7448485673378957</c:v>
                </c:pt>
                <c:pt idx="5">
                  <c:v>1.744749588791072</c:v>
                </c:pt>
                <c:pt idx="6">
                  <c:v>1.7446664818249453</c:v>
                </c:pt>
                <c:pt idx="7">
                  <c:v>1.7445989305328053</c:v>
                </c:pt>
                <c:pt idx="8">
                  <c:v>1.7445466242425101</c:v>
                </c:pt>
                <c:pt idx="9">
                  <c:v>1.7445092574087853</c:v>
                </c:pt>
                <c:pt idx="10">
                  <c:v>1.7444865295061738</c:v>
                </c:pt>
                <c:pt idx="11">
                  <c:v>1.7444781449225826</c:v>
                </c:pt>
                <c:pt idx="12">
                  <c:v>1.7444838128534825</c:v>
                </c:pt>
                <c:pt idx="13">
                  <c:v>1.7445032471966819</c:v>
                </c:pt>
                <c:pt idx="14">
                  <c:v>1.744536166447715</c:v>
                </c:pt>
                <c:pt idx="15">
                  <c:v>1.7445822935958104</c:v>
                </c:pt>
                <c:pt idx="16">
                  <c:v>1.7446413560204608</c:v>
                </c:pt>
                <c:pt idx="17">
                  <c:v>1.7447130853885426</c:v>
                </c:pt>
                <c:pt idx="18">
                  <c:v>1.7447972175520319</c:v>
                </c:pt>
                <c:pt idx="19">
                  <c:v>1.7448934924462645</c:v>
                </c:pt>
                <c:pt idx="20">
                  <c:v>1.7450016539887465</c:v>
                </c:pt>
                <c:pt idx="21">
                  <c:v>1.745121449978533</c:v>
                </c:pt>
                <c:pt idx="22">
                  <c:v>1.7452526319961212</c:v>
                </c:pt>
                <c:pt idx="23">
                  <c:v>1.7453949553038903</c:v>
                </c:pt>
                <c:pt idx="24">
                  <c:v>1.745548178747051</c:v>
                </c:pt>
                <c:pt idx="25">
                  <c:v>1.7457120646551012</c:v>
                </c:pt>
                <c:pt idx="26">
                  <c:v>1.7458863787437831</c:v>
                </c:pt>
                <c:pt idx="27">
                  <c:v>1.7460708900175383</c:v>
                </c:pt>
                <c:pt idx="28">
                  <c:v>1.7462653706723925</c:v>
                </c:pt>
                <c:pt idx="29">
                  <c:v>1.7464695959993441</c:v>
                </c:pt>
                <c:pt idx="30">
                  <c:v>1.7466833442881553</c:v>
                </c:pt>
                <c:pt idx="31">
                  <c:v>1.7469063967315774</c:v>
                </c:pt>
                <c:pt idx="32">
                  <c:v>1.7471385373299742</c:v>
                </c:pt>
                <c:pt idx="33">
                  <c:v>1.7473795527963227</c:v>
                </c:pt>
                <c:pt idx="34">
                  <c:v>1.7476292324615619</c:v>
                </c:pt>
                <c:pt idx="35">
                  <c:v>1.7478873681802882</c:v>
                </c:pt>
                <c:pt idx="36">
                  <c:v>1.7481537542367256</c:v>
                </c:pt>
                <c:pt idx="37">
                  <c:v>1.7484281872509952</c:v>
                </c:pt>
                <c:pt idx="38">
                  <c:v>1.7487104660856125</c:v>
                </c:pt>
                <c:pt idx="39">
                  <c:v>1.7490003917521753</c:v>
                </c:pt>
                <c:pt idx="40">
                  <c:v>1.749297767318257</c:v>
                </c:pt>
                <c:pt idx="41">
                  <c:v>1.7496023978143871</c:v>
                </c:pt>
                <c:pt idx="42">
                  <c:v>1.7499140901411592</c:v>
                </c:pt>
                <c:pt idx="43">
                  <c:v>1.7502326529763415</c:v>
                </c:pt>
                <c:pt idx="44">
                  <c:v>1.7505578966820232</c:v>
                </c:pt>
                <c:pt idx="45">
                  <c:v>1.7508896332116617</c:v>
                </c:pt>
                <c:pt idx="46">
                  <c:v>1.751227676017058</c:v>
                </c:pt>
                <c:pt idx="47">
                  <c:v>1.7515718399551308</c:v>
                </c:pt>
                <c:pt idx="48">
                  <c:v>1.7519219411944811</c:v>
                </c:pt>
                <c:pt idx="49">
                  <c:v>1.7522777971216472</c:v>
                </c:pt>
                <c:pt idx="50">
                  <c:v>1.7526392262470065</c:v>
                </c:pt>
                <c:pt idx="51">
                  <c:v>1.7530060481102161</c:v>
                </c:pt>
                <c:pt idx="52">
                  <c:v>1.7533780831851655</c:v>
                </c:pt>
                <c:pt idx="53">
                  <c:v>1.7537551527843021</c:v>
                </c:pt>
                <c:pt idx="54">
                  <c:v>1.7541370789622843</c:v>
                </c:pt>
                <c:pt idx="55">
                  <c:v>1.7545236844188457</c:v>
                </c:pt>
                <c:pt idx="56">
                  <c:v>1.7549147924007877</c:v>
                </c:pt>
                <c:pt idx="57">
                  <c:v>1.7553102266029692</c:v>
                </c:pt>
                <c:pt idx="58">
                  <c:v>1.7557098110682272</c:v>
                </c:pt>
                <c:pt idx="59">
                  <c:v>1.7561133700860598</c:v>
                </c:pt>
                <c:pt idx="60">
                  <c:v>1.7565207280899944</c:v>
                </c:pt>
                <c:pt idx="61">
                  <c:v>1.75693170955347</c:v>
                </c:pt>
                <c:pt idx="62">
                  <c:v>1.7573461388841234</c:v>
                </c:pt>
                <c:pt idx="63">
                  <c:v>1.7577638403163134</c:v>
                </c:pt>
                <c:pt idx="64">
                  <c:v>1.7581846378017356</c:v>
                </c:pt>
                <c:pt idx="65">
                  <c:v>1.7586083548979556</c:v>
                </c:pt>
                <c:pt idx="66">
                  <c:v>1.7590348146546844</c:v>
                </c:pt>
                <c:pt idx="67">
                  <c:v>1.7594638394976234</c:v>
                </c:pt>
                <c:pt idx="68">
                  <c:v>1.7598952511096366</c:v>
                </c:pt>
                <c:pt idx="69">
                  <c:v>1.7603288703090998</c:v>
                </c:pt>
                <c:pt idx="70">
                  <c:v>1.7607645169251565</c:v>
                </c:pt>
                <c:pt idx="71">
                  <c:v>1.7612020096696366</c:v>
                </c:pt>
                <c:pt idx="72">
                  <c:v>1.7616411660054216</c:v>
                </c:pt>
                <c:pt idx="73">
                  <c:v>1.7620818020109525</c:v>
                </c:pt>
                <c:pt idx="74">
                  <c:v>1.7625237322405878</c:v>
                </c:pt>
                <c:pt idx="75">
                  <c:v>1.7629667695805267</c:v>
                </c:pt>
                <c:pt idx="76">
                  <c:v>1.7634107250999391</c:v>
                </c:pt>
                <c:pt idx="77">
                  <c:v>1.7638554078969617</c:v>
                </c:pt>
                <c:pt idx="78">
                  <c:v>1.7643006249391882</c:v>
                </c:pt>
                <c:pt idx="79">
                  <c:v>1.7647461808982305</c:v>
                </c:pt>
                <c:pt idx="80">
                  <c:v>1.765191877977935</c:v>
                </c:pt>
                <c:pt idx="81">
                  <c:v>1.7656375157357678</c:v>
                </c:pt>
                <c:pt idx="82">
                  <c:v>1.7660828908968944</c:v>
                </c:pt>
                <c:pt idx="83">
                  <c:v>1.7665277971603934</c:v>
                </c:pt>
                <c:pt idx="84">
                  <c:v>1.7669720249970484</c:v>
                </c:pt>
                <c:pt idx="85">
                  <c:v>1.7674153614380719</c:v>
                </c:pt>
                <c:pt idx="86">
                  <c:v>1.7678575898541224</c:v>
                </c:pt>
                <c:pt idx="87">
                  <c:v>1.7682984897238663</c:v>
                </c:pt>
                <c:pt idx="88">
                  <c:v>1.7687378363913209</c:v>
                </c:pt>
                <c:pt idx="89">
                  <c:v>1.7691754008111384</c:v>
                </c:pt>
                <c:pt idx="90">
                  <c:v>1.7696109492809071</c:v>
                </c:pt>
                <c:pt idx="91">
                  <c:v>1.7700442431595043</c:v>
                </c:pt>
                <c:pt idx="92">
                  <c:v>1.7704750385704127</c:v>
                </c:pt>
                <c:pt idx="93">
                  <c:v>1.7709030860888619</c:v>
                </c:pt>
                <c:pt idx="94">
                  <c:v>1.771328130411514</c:v>
                </c:pt>
                <c:pt idx="95">
                  <c:v>1.7717499100073502</c:v>
                </c:pt>
                <c:pt idx="96">
                  <c:v>1.7721681567482219</c:v>
                </c:pt>
                <c:pt idx="97">
                  <c:v>1.7725825955175092</c:v>
                </c:pt>
                <c:pt idx="98">
                  <c:v>1.7729929437950387</c:v>
                </c:pt>
                <c:pt idx="99">
                  <c:v>1.77339891121636</c:v>
                </c:pt>
                <c:pt idx="100">
                  <c:v>1.7738001991042498</c:v>
                </c:pt>
                <c:pt idx="101">
                  <c:v>1.7741964999701019</c:v>
                </c:pt>
                <c:pt idx="102">
                  <c:v>1.7745874969826536</c:v>
                </c:pt>
                <c:pt idx="103">
                  <c:v>1.7749728634012232</c:v>
                </c:pt>
                <c:pt idx="104">
                  <c:v>1.7753522619703912</c:v>
                </c:pt>
                <c:pt idx="105">
                  <c:v>1.7757253442726557</c:v>
                </c:pt>
                <c:pt idx="106">
                  <c:v>1.7760917500353401</c:v>
                </c:pt>
                <c:pt idx="107">
                  <c:v>1.7764511063875457</c:v>
                </c:pt>
                <c:pt idx="108">
                  <c:v>1.7768030270625292</c:v>
                </c:pt>
                <c:pt idx="109">
                  <c:v>1.7771471115403554</c:v>
                </c:pt>
                <c:pt idx="110">
                  <c:v>1.7774829441251319</c:v>
                </c:pt>
                <c:pt idx="111">
                  <c:v>1.7778100929504144</c:v>
                </c:pt>
                <c:pt idx="112">
                  <c:v>1.7781281089057066</c:v>
                </c:pt>
                <c:pt idx="113">
                  <c:v>1.7784365244760545</c:v>
                </c:pt>
                <c:pt idx="114">
                  <c:v>1.7787348524858244</c:v>
                </c:pt>
                <c:pt idx="115">
                  <c:v>1.7790225847366297</c:v>
                </c:pt>
                <c:pt idx="116">
                  <c:v>1.7792991905281048</c:v>
                </c:pt>
                <c:pt idx="117">
                  <c:v>1.779564115048728</c:v>
                </c:pt>
                <c:pt idx="118">
                  <c:v>1.779816777622315</c:v>
                </c:pt>
                <c:pt idx="119">
                  <c:v>1.7800565697937323</c:v>
                </c:pt>
                <c:pt idx="120">
                  <c:v>1.7802828532352128</c:v>
                </c:pt>
                <c:pt idx="121">
                  <c:v>1.7804949574520157</c:v>
                </c:pt>
                <c:pt idx="122">
                  <c:v>1.7806921772630595</c:v>
                </c:pt>
                <c:pt idx="123">
                  <c:v>1.7808737700286199</c:v>
                </c:pt>
                <c:pt idx="124">
                  <c:v>1.7810389525929595</c:v>
                </c:pt>
                <c:pt idx="125">
                  <c:v>1.7811868979047438</c:v>
                </c:pt>
                <c:pt idx="126">
                  <c:v>1.7813167312721887</c:v>
                </c:pt>
                <c:pt idx="127">
                  <c:v>1.7814275262029899</c:v>
                </c:pt>
                <c:pt idx="128">
                  <c:v>1.7815182997705039</c:v>
                </c:pt>
                <c:pt idx="129">
                  <c:v>1.7815880074377937</c:v>
                </c:pt>
                <c:pt idx="130">
                  <c:v>1.7816355372589621</c:v>
                </c:pt>
                <c:pt idx="131">
                  <c:v>1.781659703362541</c:v>
                </c:pt>
                <c:pt idx="132">
                  <c:v>1.7816592386038583</c:v>
                </c:pt>
                <c:pt idx="133">
                  <c:v>1.7816327862515684</c:v>
                </c:pt>
                <c:pt idx="134">
                  <c:v>1.7815788905465797</c:v>
                </c:pt>
                <c:pt idx="135">
                  <c:v>1.781495985938494</c:v>
                </c:pt>
                <c:pt idx="136">
                  <c:v>1.7813823847632333</c:v>
                </c:pt>
                <c:pt idx="137">
                  <c:v>1.7812362630737861</c:v>
                </c:pt>
                <c:pt idx="138">
                  <c:v>1.7810556442704455</c:v>
                </c:pt>
                <c:pt idx="139">
                  <c:v>1.7808383800938807</c:v>
                </c:pt>
                <c:pt idx="140">
                  <c:v>1.7805821284375538</c:v>
                </c:pt>
                <c:pt idx="141">
                  <c:v>1.7802843272984028</c:v>
                </c:pt>
                <c:pt idx="142">
                  <c:v>1.7799421640048965</c:v>
                </c:pt>
                <c:pt idx="143">
                  <c:v>1.7795525386250637</c:v>
                </c:pt>
                <c:pt idx="144">
                  <c:v>1.7791120201425861</c:v>
                </c:pt>
                <c:pt idx="145">
                  <c:v>1.7786167935658663</c:v>
                </c:pt>
                <c:pt idx="146">
                  <c:v>1.7780625955592357</c:v>
                </c:pt>
                <c:pt idx="147">
                  <c:v>1.7774446353918021</c:v>
                </c:pt>
                <c:pt idx="148">
                  <c:v>1.776757496889402</c:v>
                </c:pt>
                <c:pt idx="149">
                  <c:v>1.775995015499457</c:v>
                </c:pt>
                <c:pt idx="150">
                  <c:v>1.7751501223031105</c:v>
                </c:pt>
                <c:pt idx="151">
                  <c:v>1.7742146434618915</c:v>
                </c:pt>
                <c:pt idx="152">
                  <c:v>1.773179038559739</c:v>
                </c:pt>
                <c:pt idx="153">
                  <c:v>1.7720320535783629</c:v>
                </c:pt>
                <c:pt idx="154">
                  <c:v>1.7707602520665813</c:v>
                </c:pt>
                <c:pt idx="155">
                  <c:v>1.7693473682966543</c:v>
                </c:pt>
                <c:pt idx="156">
                  <c:v>1.7677733930231911</c:v>
                </c:pt>
                <c:pt idx="157">
                  <c:v>1.7660132445969654</c:v>
                </c:pt>
                <c:pt idx="158">
                  <c:v>1.7640347726465597</c:v>
                </c:pt>
                <c:pt idx="159">
                  <c:v>1.7617956385578011</c:v>
                </c:pt>
                <c:pt idx="160">
                  <c:v>1.7592382008346104</c:v>
                </c:pt>
                <c:pt idx="161">
                  <c:v>1.7562806104196662</c:v>
                </c:pt>
                <c:pt idx="162">
                  <c:v>1.7528000589997077</c:v>
                </c:pt>
                <c:pt idx="163">
                  <c:v>1.7485977986326353</c:v>
                </c:pt>
                <c:pt idx="164">
                  <c:v>1.7433142745833841</c:v>
                </c:pt>
                <c:pt idx="165">
                  <c:v>1.7361672413554856</c:v>
                </c:pt>
                <c:pt idx="166">
                  <c:v>1.7246268756233929</c:v>
                </c:pt>
              </c:numCache>
            </c:numRef>
          </c:xVal>
          <c:yVal>
            <c:numRef>
              <c:f>List1!$Y$3:$Y$230</c:f>
              <c:numCache>
                <c:formatCode>General</c:formatCode>
                <c:ptCount val="228"/>
                <c:pt idx="0">
                  <c:v>273</c:v>
                </c:pt>
                <c:pt idx="1">
                  <c:v>274</c:v>
                </c:pt>
                <c:pt idx="2">
                  <c:v>275</c:v>
                </c:pt>
                <c:pt idx="3">
                  <c:v>276</c:v>
                </c:pt>
                <c:pt idx="4">
                  <c:v>277</c:v>
                </c:pt>
                <c:pt idx="5">
                  <c:v>278</c:v>
                </c:pt>
                <c:pt idx="6">
                  <c:v>279</c:v>
                </c:pt>
                <c:pt idx="7">
                  <c:v>280</c:v>
                </c:pt>
                <c:pt idx="8">
                  <c:v>281</c:v>
                </c:pt>
                <c:pt idx="9">
                  <c:v>282</c:v>
                </c:pt>
                <c:pt idx="10">
                  <c:v>283</c:v>
                </c:pt>
                <c:pt idx="11">
                  <c:v>284</c:v>
                </c:pt>
                <c:pt idx="12">
                  <c:v>285</c:v>
                </c:pt>
                <c:pt idx="13">
                  <c:v>286</c:v>
                </c:pt>
                <c:pt idx="14">
                  <c:v>287</c:v>
                </c:pt>
                <c:pt idx="15">
                  <c:v>288</c:v>
                </c:pt>
                <c:pt idx="16">
                  <c:v>289</c:v>
                </c:pt>
                <c:pt idx="17">
                  <c:v>290</c:v>
                </c:pt>
                <c:pt idx="18">
                  <c:v>291</c:v>
                </c:pt>
                <c:pt idx="19">
                  <c:v>292</c:v>
                </c:pt>
                <c:pt idx="20">
                  <c:v>293</c:v>
                </c:pt>
                <c:pt idx="21">
                  <c:v>294</c:v>
                </c:pt>
                <c:pt idx="22">
                  <c:v>295</c:v>
                </c:pt>
                <c:pt idx="23">
                  <c:v>296</c:v>
                </c:pt>
                <c:pt idx="24">
                  <c:v>297</c:v>
                </c:pt>
                <c:pt idx="25">
                  <c:v>298</c:v>
                </c:pt>
                <c:pt idx="26">
                  <c:v>299</c:v>
                </c:pt>
                <c:pt idx="27">
                  <c:v>300</c:v>
                </c:pt>
                <c:pt idx="28">
                  <c:v>301</c:v>
                </c:pt>
                <c:pt idx="29">
                  <c:v>302</c:v>
                </c:pt>
                <c:pt idx="30">
                  <c:v>303</c:v>
                </c:pt>
                <c:pt idx="31">
                  <c:v>304</c:v>
                </c:pt>
                <c:pt idx="32">
                  <c:v>305</c:v>
                </c:pt>
                <c:pt idx="33">
                  <c:v>306</c:v>
                </c:pt>
                <c:pt idx="34">
                  <c:v>307</c:v>
                </c:pt>
                <c:pt idx="35">
                  <c:v>308</c:v>
                </c:pt>
                <c:pt idx="36">
                  <c:v>309</c:v>
                </c:pt>
                <c:pt idx="37">
                  <c:v>310</c:v>
                </c:pt>
                <c:pt idx="38">
                  <c:v>311</c:v>
                </c:pt>
                <c:pt idx="39">
                  <c:v>312</c:v>
                </c:pt>
                <c:pt idx="40">
                  <c:v>313</c:v>
                </c:pt>
                <c:pt idx="41">
                  <c:v>314</c:v>
                </c:pt>
                <c:pt idx="42">
                  <c:v>315</c:v>
                </c:pt>
                <c:pt idx="43">
                  <c:v>316</c:v>
                </c:pt>
                <c:pt idx="44">
                  <c:v>317</c:v>
                </c:pt>
                <c:pt idx="45">
                  <c:v>318</c:v>
                </c:pt>
                <c:pt idx="46">
                  <c:v>319</c:v>
                </c:pt>
                <c:pt idx="47">
                  <c:v>320</c:v>
                </c:pt>
                <c:pt idx="48">
                  <c:v>321</c:v>
                </c:pt>
                <c:pt idx="49">
                  <c:v>322</c:v>
                </c:pt>
                <c:pt idx="50">
                  <c:v>323</c:v>
                </c:pt>
                <c:pt idx="51">
                  <c:v>324</c:v>
                </c:pt>
                <c:pt idx="52">
                  <c:v>325</c:v>
                </c:pt>
                <c:pt idx="53">
                  <c:v>326</c:v>
                </c:pt>
                <c:pt idx="54">
                  <c:v>327</c:v>
                </c:pt>
                <c:pt idx="55">
                  <c:v>328</c:v>
                </c:pt>
                <c:pt idx="56">
                  <c:v>329</c:v>
                </c:pt>
                <c:pt idx="57">
                  <c:v>330</c:v>
                </c:pt>
                <c:pt idx="58">
                  <c:v>331</c:v>
                </c:pt>
                <c:pt idx="59">
                  <c:v>332</c:v>
                </c:pt>
                <c:pt idx="60">
                  <c:v>333</c:v>
                </c:pt>
                <c:pt idx="61">
                  <c:v>334</c:v>
                </c:pt>
                <c:pt idx="62">
                  <c:v>335</c:v>
                </c:pt>
                <c:pt idx="63">
                  <c:v>336</c:v>
                </c:pt>
                <c:pt idx="64">
                  <c:v>337</c:v>
                </c:pt>
                <c:pt idx="65">
                  <c:v>338</c:v>
                </c:pt>
                <c:pt idx="66">
                  <c:v>339</c:v>
                </c:pt>
                <c:pt idx="67">
                  <c:v>340</c:v>
                </c:pt>
                <c:pt idx="68">
                  <c:v>341</c:v>
                </c:pt>
                <c:pt idx="69">
                  <c:v>342</c:v>
                </c:pt>
                <c:pt idx="70">
                  <c:v>343</c:v>
                </c:pt>
                <c:pt idx="71">
                  <c:v>344</c:v>
                </c:pt>
                <c:pt idx="72">
                  <c:v>345</c:v>
                </c:pt>
                <c:pt idx="73">
                  <c:v>346</c:v>
                </c:pt>
                <c:pt idx="74">
                  <c:v>347</c:v>
                </c:pt>
                <c:pt idx="75">
                  <c:v>348</c:v>
                </c:pt>
                <c:pt idx="76">
                  <c:v>349</c:v>
                </c:pt>
                <c:pt idx="77">
                  <c:v>350</c:v>
                </c:pt>
                <c:pt idx="78">
                  <c:v>351</c:v>
                </c:pt>
                <c:pt idx="79">
                  <c:v>352</c:v>
                </c:pt>
                <c:pt idx="80">
                  <c:v>353</c:v>
                </c:pt>
                <c:pt idx="81">
                  <c:v>354</c:v>
                </c:pt>
                <c:pt idx="82">
                  <c:v>355</c:v>
                </c:pt>
                <c:pt idx="83">
                  <c:v>356</c:v>
                </c:pt>
                <c:pt idx="84">
                  <c:v>357</c:v>
                </c:pt>
                <c:pt idx="85">
                  <c:v>358</c:v>
                </c:pt>
                <c:pt idx="86">
                  <c:v>359</c:v>
                </c:pt>
                <c:pt idx="87">
                  <c:v>360</c:v>
                </c:pt>
                <c:pt idx="88">
                  <c:v>361</c:v>
                </c:pt>
                <c:pt idx="89">
                  <c:v>362</c:v>
                </c:pt>
                <c:pt idx="90">
                  <c:v>363</c:v>
                </c:pt>
                <c:pt idx="91">
                  <c:v>364</c:v>
                </c:pt>
                <c:pt idx="92">
                  <c:v>365</c:v>
                </c:pt>
                <c:pt idx="93">
                  <c:v>366</c:v>
                </c:pt>
                <c:pt idx="94">
                  <c:v>367</c:v>
                </c:pt>
                <c:pt idx="95">
                  <c:v>368</c:v>
                </c:pt>
                <c:pt idx="96">
                  <c:v>369</c:v>
                </c:pt>
                <c:pt idx="97">
                  <c:v>370</c:v>
                </c:pt>
                <c:pt idx="98">
                  <c:v>371</c:v>
                </c:pt>
                <c:pt idx="99">
                  <c:v>372</c:v>
                </c:pt>
                <c:pt idx="100">
                  <c:v>373</c:v>
                </c:pt>
                <c:pt idx="101">
                  <c:v>374</c:v>
                </c:pt>
                <c:pt idx="102">
                  <c:v>375</c:v>
                </c:pt>
                <c:pt idx="103">
                  <c:v>376</c:v>
                </c:pt>
                <c:pt idx="104">
                  <c:v>377</c:v>
                </c:pt>
                <c:pt idx="105">
                  <c:v>378</c:v>
                </c:pt>
                <c:pt idx="106">
                  <c:v>379</c:v>
                </c:pt>
                <c:pt idx="107">
                  <c:v>380</c:v>
                </c:pt>
                <c:pt idx="108">
                  <c:v>381</c:v>
                </c:pt>
                <c:pt idx="109">
                  <c:v>382</c:v>
                </c:pt>
                <c:pt idx="110">
                  <c:v>383</c:v>
                </c:pt>
                <c:pt idx="111">
                  <c:v>384</c:v>
                </c:pt>
                <c:pt idx="112">
                  <c:v>385</c:v>
                </c:pt>
                <c:pt idx="113">
                  <c:v>386</c:v>
                </c:pt>
                <c:pt idx="114">
                  <c:v>387</c:v>
                </c:pt>
                <c:pt idx="115">
                  <c:v>388</c:v>
                </c:pt>
                <c:pt idx="116">
                  <c:v>389</c:v>
                </c:pt>
                <c:pt idx="117">
                  <c:v>390</c:v>
                </c:pt>
                <c:pt idx="118">
                  <c:v>391</c:v>
                </c:pt>
                <c:pt idx="119">
                  <c:v>392</c:v>
                </c:pt>
                <c:pt idx="120">
                  <c:v>393</c:v>
                </c:pt>
                <c:pt idx="121">
                  <c:v>394</c:v>
                </c:pt>
                <c:pt idx="122">
                  <c:v>395</c:v>
                </c:pt>
                <c:pt idx="123">
                  <c:v>396</c:v>
                </c:pt>
                <c:pt idx="124">
                  <c:v>397</c:v>
                </c:pt>
                <c:pt idx="125">
                  <c:v>398</c:v>
                </c:pt>
                <c:pt idx="126">
                  <c:v>399</c:v>
                </c:pt>
                <c:pt idx="127">
                  <c:v>400</c:v>
                </c:pt>
                <c:pt idx="128">
                  <c:v>401</c:v>
                </c:pt>
                <c:pt idx="129">
                  <c:v>402</c:v>
                </c:pt>
                <c:pt idx="130">
                  <c:v>403</c:v>
                </c:pt>
                <c:pt idx="131">
                  <c:v>404</c:v>
                </c:pt>
                <c:pt idx="132">
                  <c:v>405</c:v>
                </c:pt>
                <c:pt idx="133">
                  <c:v>406</c:v>
                </c:pt>
                <c:pt idx="134">
                  <c:v>407</c:v>
                </c:pt>
                <c:pt idx="135">
                  <c:v>408</c:v>
                </c:pt>
                <c:pt idx="136">
                  <c:v>409</c:v>
                </c:pt>
                <c:pt idx="137">
                  <c:v>410</c:v>
                </c:pt>
                <c:pt idx="138">
                  <c:v>411</c:v>
                </c:pt>
                <c:pt idx="139">
                  <c:v>412</c:v>
                </c:pt>
                <c:pt idx="140">
                  <c:v>413</c:v>
                </c:pt>
                <c:pt idx="141">
                  <c:v>414</c:v>
                </c:pt>
                <c:pt idx="142">
                  <c:v>415</c:v>
                </c:pt>
                <c:pt idx="143">
                  <c:v>416</c:v>
                </c:pt>
                <c:pt idx="144">
                  <c:v>417</c:v>
                </c:pt>
                <c:pt idx="145">
                  <c:v>418</c:v>
                </c:pt>
                <c:pt idx="146">
                  <c:v>419</c:v>
                </c:pt>
                <c:pt idx="147">
                  <c:v>420</c:v>
                </c:pt>
                <c:pt idx="148">
                  <c:v>421</c:v>
                </c:pt>
                <c:pt idx="149">
                  <c:v>422</c:v>
                </c:pt>
                <c:pt idx="150">
                  <c:v>423</c:v>
                </c:pt>
                <c:pt idx="151">
                  <c:v>424</c:v>
                </c:pt>
                <c:pt idx="152">
                  <c:v>425</c:v>
                </c:pt>
                <c:pt idx="153">
                  <c:v>426</c:v>
                </c:pt>
                <c:pt idx="154">
                  <c:v>427</c:v>
                </c:pt>
                <c:pt idx="155">
                  <c:v>428</c:v>
                </c:pt>
                <c:pt idx="156">
                  <c:v>429</c:v>
                </c:pt>
                <c:pt idx="157">
                  <c:v>430</c:v>
                </c:pt>
                <c:pt idx="158">
                  <c:v>431</c:v>
                </c:pt>
                <c:pt idx="159">
                  <c:v>432</c:v>
                </c:pt>
                <c:pt idx="160">
                  <c:v>433</c:v>
                </c:pt>
                <c:pt idx="161">
                  <c:v>434</c:v>
                </c:pt>
                <c:pt idx="162">
                  <c:v>435</c:v>
                </c:pt>
                <c:pt idx="163">
                  <c:v>436</c:v>
                </c:pt>
                <c:pt idx="164">
                  <c:v>437</c:v>
                </c:pt>
                <c:pt idx="165">
                  <c:v>438</c:v>
                </c:pt>
                <c:pt idx="166">
                  <c:v>439</c:v>
                </c:pt>
                <c:pt idx="167">
                  <c:v>440</c:v>
                </c:pt>
                <c:pt idx="168">
                  <c:v>441</c:v>
                </c:pt>
                <c:pt idx="169">
                  <c:v>442</c:v>
                </c:pt>
                <c:pt idx="170">
                  <c:v>443</c:v>
                </c:pt>
                <c:pt idx="171">
                  <c:v>444</c:v>
                </c:pt>
                <c:pt idx="172">
                  <c:v>445</c:v>
                </c:pt>
                <c:pt idx="173">
                  <c:v>446</c:v>
                </c:pt>
                <c:pt idx="174">
                  <c:v>447</c:v>
                </c:pt>
                <c:pt idx="175">
                  <c:v>448</c:v>
                </c:pt>
                <c:pt idx="176">
                  <c:v>449</c:v>
                </c:pt>
                <c:pt idx="177">
                  <c:v>450</c:v>
                </c:pt>
                <c:pt idx="178">
                  <c:v>451</c:v>
                </c:pt>
                <c:pt idx="179">
                  <c:v>452</c:v>
                </c:pt>
                <c:pt idx="180">
                  <c:v>453</c:v>
                </c:pt>
                <c:pt idx="181">
                  <c:v>454</c:v>
                </c:pt>
                <c:pt idx="182">
                  <c:v>455</c:v>
                </c:pt>
                <c:pt idx="183">
                  <c:v>456</c:v>
                </c:pt>
                <c:pt idx="184">
                  <c:v>457</c:v>
                </c:pt>
                <c:pt idx="185">
                  <c:v>458</c:v>
                </c:pt>
                <c:pt idx="186">
                  <c:v>459</c:v>
                </c:pt>
                <c:pt idx="187">
                  <c:v>460</c:v>
                </c:pt>
                <c:pt idx="188">
                  <c:v>461</c:v>
                </c:pt>
                <c:pt idx="189">
                  <c:v>462</c:v>
                </c:pt>
                <c:pt idx="190">
                  <c:v>463</c:v>
                </c:pt>
                <c:pt idx="191">
                  <c:v>464</c:v>
                </c:pt>
                <c:pt idx="192">
                  <c:v>465</c:v>
                </c:pt>
                <c:pt idx="193">
                  <c:v>466</c:v>
                </c:pt>
                <c:pt idx="194">
                  <c:v>467</c:v>
                </c:pt>
                <c:pt idx="195">
                  <c:v>468</c:v>
                </c:pt>
                <c:pt idx="196">
                  <c:v>469</c:v>
                </c:pt>
                <c:pt idx="197">
                  <c:v>470</c:v>
                </c:pt>
                <c:pt idx="198">
                  <c:v>471</c:v>
                </c:pt>
                <c:pt idx="199">
                  <c:v>472</c:v>
                </c:pt>
                <c:pt idx="200">
                  <c:v>473</c:v>
                </c:pt>
                <c:pt idx="201">
                  <c:v>474</c:v>
                </c:pt>
                <c:pt idx="202">
                  <c:v>475</c:v>
                </c:pt>
                <c:pt idx="203">
                  <c:v>476</c:v>
                </c:pt>
                <c:pt idx="204">
                  <c:v>477</c:v>
                </c:pt>
                <c:pt idx="205">
                  <c:v>478</c:v>
                </c:pt>
                <c:pt idx="206">
                  <c:v>479</c:v>
                </c:pt>
                <c:pt idx="207">
                  <c:v>480</c:v>
                </c:pt>
                <c:pt idx="208">
                  <c:v>481</c:v>
                </c:pt>
                <c:pt idx="209">
                  <c:v>482</c:v>
                </c:pt>
                <c:pt idx="210">
                  <c:v>483</c:v>
                </c:pt>
                <c:pt idx="211">
                  <c:v>484</c:v>
                </c:pt>
                <c:pt idx="212">
                  <c:v>485</c:v>
                </c:pt>
                <c:pt idx="213">
                  <c:v>486</c:v>
                </c:pt>
                <c:pt idx="214">
                  <c:v>487</c:v>
                </c:pt>
                <c:pt idx="215">
                  <c:v>488</c:v>
                </c:pt>
                <c:pt idx="216">
                  <c:v>489</c:v>
                </c:pt>
                <c:pt idx="217">
                  <c:v>490</c:v>
                </c:pt>
                <c:pt idx="218">
                  <c:v>491</c:v>
                </c:pt>
                <c:pt idx="219">
                  <c:v>492</c:v>
                </c:pt>
                <c:pt idx="220">
                  <c:v>493</c:v>
                </c:pt>
                <c:pt idx="221">
                  <c:v>494</c:v>
                </c:pt>
                <c:pt idx="222">
                  <c:v>495</c:v>
                </c:pt>
                <c:pt idx="223">
                  <c:v>496</c:v>
                </c:pt>
                <c:pt idx="224">
                  <c:v>497</c:v>
                </c:pt>
                <c:pt idx="225">
                  <c:v>498</c:v>
                </c:pt>
                <c:pt idx="226">
                  <c:v>499</c:v>
                </c:pt>
                <c:pt idx="227">
                  <c:v>500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6E5E-4FEE-A151-3081192B650F}"/>
            </c:ext>
          </c:extLst>
        </c:ser>
        <c:ser>
          <c:idx val="5"/>
          <c:order val="1"/>
          <c:marker>
            <c:symbol val="none"/>
          </c:marker>
          <c:xVal>
            <c:numRef>
              <c:f>List1!$W$3:$W$230</c:f>
              <c:numCache>
                <c:formatCode>General</c:formatCode>
                <c:ptCount val="228"/>
                <c:pt idx="0">
                  <c:v>0.99935383812074075</c:v>
                </c:pt>
                <c:pt idx="1">
                  <c:v>1.0036571124029343</c:v>
                </c:pt>
                <c:pt idx="2">
                  <c:v>1.007949921588732</c:v>
                </c:pt>
                <c:pt idx="3">
                  <c:v>1.0122323565496221</c:v>
                </c:pt>
                <c:pt idx="4">
                  <c:v>1.0165045076500987</c:v>
                </c:pt>
                <c:pt idx="5">
                  <c:v>1.0207664647681178</c:v>
                </c:pt>
                <c:pt idx="6">
                  <c:v>1.025018317315169</c:v>
                </c:pt>
                <c:pt idx="7">
                  <c:v>1.0292601542559727</c:v>
                </c:pt>
                <c:pt idx="8">
                  <c:v>1.0334920641278504</c:v>
                </c:pt>
                <c:pt idx="9">
                  <c:v>1.0377141350597896</c:v>
                </c:pt>
                <c:pt idx="10">
                  <c:v>1.0419264547912337</c:v>
                </c:pt>
                <c:pt idx="11">
                  <c:v>1.0461291106906001</c:v>
                </c:pt>
                <c:pt idx="12">
                  <c:v>1.0503221897736099</c:v>
                </c:pt>
                <c:pt idx="13">
                  <c:v>1.0545057787213796</c:v>
                </c:pt>
                <c:pt idx="14">
                  <c:v>1.0586799638983757</c:v>
                </c:pt>
                <c:pt idx="15">
                  <c:v>1.0628448313701864</c:v>
                </c:pt>
                <c:pt idx="16">
                  <c:v>1.0670004669212028</c:v>
                </c:pt>
                <c:pt idx="17">
                  <c:v>1.0711469560721758</c:v>
                </c:pt>
                <c:pt idx="18">
                  <c:v>1.0752843840977115</c:v>
                </c:pt>
                <c:pt idx="19">
                  <c:v>1.0794128360437187</c:v>
                </c:pt>
                <c:pt idx="20">
                  <c:v>1.0835323967448098</c:v>
                </c:pt>
                <c:pt idx="21">
                  <c:v>1.0876431508417204</c:v>
                </c:pt>
                <c:pt idx="22">
                  <c:v>1.0917451827987306</c:v>
                </c:pt>
                <c:pt idx="23">
                  <c:v>1.0958385769211378</c:v>
                </c:pt>
                <c:pt idx="24">
                  <c:v>1.0999234173727939</c:v>
                </c:pt>
                <c:pt idx="25">
                  <c:v>1.1039997881937191</c:v>
                </c:pt>
                <c:pt idx="26">
                  <c:v>1.1080677733178383</c:v>
                </c:pt>
                <c:pt idx="27">
                  <c:v>1.112127456590849</c:v>
                </c:pt>
                <c:pt idx="28">
                  <c:v>1.1161789217882361</c:v>
                </c:pt>
                <c:pt idx="29">
                  <c:v>1.1202222526334802</c:v>
                </c:pt>
                <c:pt idx="30">
                  <c:v>1.1242575328164468</c:v>
                </c:pt>
                <c:pt idx="31">
                  <c:v>1.1282848460120287</c:v>
                </c:pt>
                <c:pt idx="32">
                  <c:v>1.1323042758990149</c:v>
                </c:pt>
                <c:pt idx="33">
                  <c:v>1.1363159061792447</c:v>
                </c:pt>
                <c:pt idx="34">
                  <c:v>1.1403198205970508</c:v>
                </c:pt>
                <c:pt idx="35">
                  <c:v>1.1443161029590414</c:v>
                </c:pt>
                <c:pt idx="36">
                  <c:v>1.1483048371542033</c:v>
                </c:pt>
                <c:pt idx="37">
                  <c:v>1.152286107174415</c:v>
                </c:pt>
                <c:pt idx="38">
                  <c:v>1.1562599971353227</c:v>
                </c:pt>
                <c:pt idx="39">
                  <c:v>1.1602265912976704</c:v>
                </c:pt>
                <c:pt idx="40">
                  <c:v>1.1641859740890776</c:v>
                </c:pt>
                <c:pt idx="41">
                  <c:v>1.1681382301262944</c:v>
                </c:pt>
                <c:pt idx="42">
                  <c:v>1.1720834442379842</c:v>
                </c:pt>
                <c:pt idx="43">
                  <c:v>1.1760217014880414</c:v>
                </c:pt>
                <c:pt idx="44">
                  <c:v>1.1799530871994934</c:v>
                </c:pt>
                <c:pt idx="45">
                  <c:v>1.1838776869789995</c:v>
                </c:pt>
                <c:pt idx="46">
                  <c:v>1.1877955867420156</c:v>
                </c:pt>
                <c:pt idx="47">
                  <c:v>1.1917068727386215</c:v>
                </c:pt>
                <c:pt idx="48">
                  <c:v>1.1956116315800682</c:v>
                </c:pt>
                <c:pt idx="49">
                  <c:v>1.1995099502660949</c:v>
                </c:pt>
                <c:pt idx="50">
                  <c:v>1.2034019162130283</c:v>
                </c:pt>
                <c:pt idx="51">
                  <c:v>1.2072876172827212</c:v>
                </c:pt>
                <c:pt idx="52">
                  <c:v>1.2111671418124004</c:v>
                </c:pt>
                <c:pt idx="53">
                  <c:v>1.2150405786454082</c:v>
                </c:pt>
                <c:pt idx="54">
                  <c:v>1.2189080171629554</c:v>
                </c:pt>
                <c:pt idx="55">
                  <c:v>1.2227695473168991</c:v>
                </c:pt>
                <c:pt idx="56">
                  <c:v>1.2266252596635954</c:v>
                </c:pt>
                <c:pt idx="57">
                  <c:v>1.2304752453989167</c:v>
                </c:pt>
                <c:pt idx="58">
                  <c:v>1.2343195963944575</c:v>
                </c:pt>
                <c:pt idx="59">
                  <c:v>1.2381584052350196</c:v>
                </c:pt>
                <c:pt idx="60">
                  <c:v>1.2419917652574359</c:v>
                </c:pt>
                <c:pt idx="61">
                  <c:v>1.2458197705907987</c:v>
                </c:pt>
                <c:pt idx="62">
                  <c:v>1.2496425161981703</c:v>
                </c:pt>
                <c:pt idx="63">
                  <c:v>1.253460097919872</c:v>
                </c:pt>
                <c:pt idx="64">
                  <c:v>1.2572726125184119</c:v>
                </c:pt>
                <c:pt idx="65">
                  <c:v>1.2610801577251685</c:v>
                </c:pt>
                <c:pt idx="66">
                  <c:v>1.2648828322888912</c:v>
                </c:pt>
                <c:pt idx="67">
                  <c:v>1.2686807360261754</c:v>
                </c:pt>
                <c:pt idx="68">
                  <c:v>1.2724739698739582</c:v>
                </c:pt>
                <c:pt idx="69">
                  <c:v>1.276262635944196</c:v>
                </c:pt>
                <c:pt idx="70">
                  <c:v>1.2800468375808449</c:v>
                </c:pt>
                <c:pt idx="71">
                  <c:v>1.2838266794192421</c:v>
                </c:pt>
                <c:pt idx="72">
                  <c:v>1.2876022674480709</c:v>
                </c:pt>
                <c:pt idx="73">
                  <c:v>1.2913737090740509</c:v>
                </c:pt>
                <c:pt idx="74">
                  <c:v>1.295141113189485</c:v>
                </c:pt>
                <c:pt idx="75">
                  <c:v>1.2989045902428917</c:v>
                </c:pt>
                <c:pt idx="76">
                  <c:v>1.3026642523128524</c:v>
                </c:pt>
                <c:pt idx="77">
                  <c:v>1.3064202131853251</c:v>
                </c:pt>
                <c:pt idx="78">
                  <c:v>1.3101725884345881</c:v>
                </c:pt>
                <c:pt idx="79">
                  <c:v>1.313921495508096</c:v>
                </c:pt>
                <c:pt idx="80">
                  <c:v>1.3176670538154613</c:v>
                </c:pt>
                <c:pt idx="81">
                  <c:v>1.3214093848218289</c:v>
                </c:pt>
                <c:pt idx="82">
                  <c:v>1.3251486121459628</c:v>
                </c:pt>
                <c:pt idx="83">
                  <c:v>1.3288848616633187</c:v>
                </c:pt>
                <c:pt idx="84">
                  <c:v>1.3326182616144591</c:v>
                </c:pt>
                <c:pt idx="85">
                  <c:v>1.3363489427191748</c:v>
                </c:pt>
                <c:pt idx="86">
                  <c:v>1.3400770382966898</c:v>
                </c:pt>
                <c:pt idx="87">
                  <c:v>1.3438026843923925</c:v>
                </c:pt>
                <c:pt idx="88">
                  <c:v>1.3475260199115398</c:v>
                </c:pt>
                <c:pt idx="89">
                  <c:v>1.3512471867604432</c:v>
                </c:pt>
                <c:pt idx="90">
                  <c:v>1.3549663299956802</c:v>
                </c:pt>
                <c:pt idx="91">
                  <c:v>1.3586835979819074</c:v>
                </c:pt>
                <c:pt idx="92">
                  <c:v>1.3623991425589403</c:v>
                </c:pt>
                <c:pt idx="93">
                  <c:v>1.366113119218791</c:v>
                </c:pt>
                <c:pt idx="94">
                  <c:v>1.3698256872934167</c:v>
                </c:pt>
                <c:pt idx="95">
                  <c:v>1.3735370101540452</c:v>
                </c:pt>
                <c:pt idx="96">
                  <c:v>1.3772472554229509</c:v>
                </c:pt>
                <c:pt idx="97">
                  <c:v>1.3809565951987335</c:v>
                </c:pt>
                <c:pt idx="98">
                  <c:v>1.3846652062961544</c:v>
                </c:pt>
                <c:pt idx="99">
                  <c:v>1.3883732705017666</c:v>
                </c:pt>
                <c:pt idx="100">
                  <c:v>1.3920809748466492</c:v>
                </c:pt>
                <c:pt idx="101">
                  <c:v>1.395788511897728</c:v>
                </c:pt>
                <c:pt idx="102">
                  <c:v>1.3994960800692851</c:v>
                </c:pt>
                <c:pt idx="103">
                  <c:v>1.4032038839564369</c:v>
                </c:pt>
                <c:pt idx="104">
                  <c:v>1.4069121346925726</c:v>
                </c:pt>
                <c:pt idx="105">
                  <c:v>1.4106210503329268</c:v>
                </c:pt>
                <c:pt idx="106">
                  <c:v>1.4143308562667165</c:v>
                </c:pt>
                <c:pt idx="107">
                  <c:v>1.4180417856605523</c:v>
                </c:pt>
                <c:pt idx="108">
                  <c:v>1.421754079936125</c:v>
                </c:pt>
                <c:pt idx="109">
                  <c:v>1.4254679892855344</c:v>
                </c:pt>
                <c:pt idx="110">
                  <c:v>1.4291837732280082</c:v>
                </c:pt>
                <c:pt idx="111">
                  <c:v>1.4329017012122216</c:v>
                </c:pt>
                <c:pt idx="112">
                  <c:v>1.4366220532689484</c:v>
                </c:pt>
                <c:pt idx="113">
                  <c:v>1.4403451207193387</c:v>
                </c:pt>
                <c:pt idx="114">
                  <c:v>1.4440712069448318</c:v>
                </c:pt>
                <c:pt idx="115">
                  <c:v>1.4478006282254461</c:v>
                </c:pt>
                <c:pt idx="116">
                  <c:v>1.4515337146541378</c:v>
                </c:pt>
                <c:pt idx="117">
                  <c:v>1.4552708111358765</c:v>
                </c:pt>
                <c:pt idx="118">
                  <c:v>1.4590122784813726</c:v>
                </c:pt>
                <c:pt idx="119">
                  <c:v>1.4627584946067025</c:v>
                </c:pt>
                <c:pt idx="120">
                  <c:v>1.4665098558517549</c:v>
                </c:pt>
                <c:pt idx="121">
                  <c:v>1.4702667784322663</c:v>
                </c:pt>
                <c:pt idx="122">
                  <c:v>1.4740297000424785</c:v>
                </c:pt>
                <c:pt idx="123">
                  <c:v>1.4777990816280131</c:v>
                </c:pt>
                <c:pt idx="124">
                  <c:v>1.4815754093516875</c:v>
                </c:pt>
                <c:pt idx="125">
                  <c:v>1.4853591967785957</c:v>
                </c:pt>
                <c:pt idx="126">
                  <c:v>1.4891509873111239</c:v>
                </c:pt>
                <c:pt idx="127">
                  <c:v>1.4929513569097939</c:v>
                </c:pt>
                <c:pt idx="128">
                  <c:v>1.4967609171419463</c:v>
                </c:pt>
                <c:pt idx="129">
                  <c:v>1.5005803186077911</c:v>
                </c:pt>
                <c:pt idx="130">
                  <c:v>1.5044102548023932</c:v>
                </c:pt>
                <c:pt idx="131">
                  <c:v>1.5082514664830589</c:v>
                </c:pt>
                <c:pt idx="132">
                  <c:v>1.5121047466250273</c:v>
                </c:pt>
                <c:pt idx="133">
                  <c:v>1.5159709460647892</c:v>
                </c:pt>
                <c:pt idx="134">
                  <c:v>1.5198509799506008</c:v>
                </c:pt>
                <c:pt idx="135">
                  <c:v>1.5237458351449489</c:v>
                </c:pt>
                <c:pt idx="136">
                  <c:v>1.5276565787551482</c:v>
                </c:pt>
                <c:pt idx="137">
                  <c:v>1.5315843680077781</c:v>
                </c:pt>
                <c:pt idx="138">
                  <c:v>1.5355304617326928</c:v>
                </c:pt>
                <c:pt idx="139">
                  <c:v>1.5394962337861589</c:v>
                </c:pt>
                <c:pt idx="140">
                  <c:v>1.5434831888247296</c:v>
                </c:pt>
                <c:pt idx="141">
                  <c:v>1.5474929809478202</c:v>
                </c:pt>
                <c:pt idx="142">
                  <c:v>1.5515274358660895</c:v>
                </c:pt>
                <c:pt idx="143">
                  <c:v>1.5555885774365181</c:v>
                </c:pt>
                <c:pt idx="144">
                  <c:v>1.5596786596503731</c:v>
                </c:pt>
                <c:pt idx="145">
                  <c:v>1.5638002054912665</c:v>
                </c:pt>
                <c:pt idx="146">
                  <c:v>1.5679560545327833</c:v>
                </c:pt>
                <c:pt idx="147">
                  <c:v>1.5721494217710987</c:v>
                </c:pt>
                <c:pt idx="148">
                  <c:v>1.5763839710668965</c:v>
                </c:pt>
                <c:pt idx="149">
                  <c:v>1.5806639078244011</c:v>
                </c:pt>
                <c:pt idx="150">
                  <c:v>1.5849940973538441</c:v>
                </c:pt>
                <c:pt idx="151">
                  <c:v>1.5893802180526375</c:v>
                </c:pt>
                <c:pt idx="152">
                  <c:v>1.5938289626003692</c:v>
                </c:pt>
                <c:pt idx="153">
                  <c:v>1.5983483066377104</c:v>
                </c:pt>
                <c:pt idx="154">
                  <c:v>1.6029478743559193</c:v>
                </c:pt>
                <c:pt idx="155">
                  <c:v>1.6076394466979418</c:v>
                </c:pt>
                <c:pt idx="156">
                  <c:v>1.612437685389551</c:v>
                </c:pt>
                <c:pt idx="157">
                  <c:v>1.6173611943994382</c:v>
                </c:pt>
                <c:pt idx="158">
                  <c:v>1.6224341294517362</c:v>
                </c:pt>
                <c:pt idx="159">
                  <c:v>1.6276887390978472</c:v>
                </c:pt>
                <c:pt idx="160">
                  <c:v>1.6331695790984819</c:v>
                </c:pt>
                <c:pt idx="161">
                  <c:v>1.6389409459654878</c:v>
                </c:pt>
                <c:pt idx="162">
                  <c:v>1.6451010727956192</c:v>
                </c:pt>
                <c:pt idx="163">
                  <c:v>1.6518123014955362</c:v>
                </c:pt>
                <c:pt idx="164">
                  <c:v>1.6593758699874803</c:v>
                </c:pt>
                <c:pt idx="165">
                  <c:v>1.6684690487033711</c:v>
                </c:pt>
                <c:pt idx="166">
                  <c:v>1.6813913222963466</c:v>
                </c:pt>
              </c:numCache>
            </c:numRef>
          </c:xVal>
          <c:yVal>
            <c:numRef>
              <c:f>List1!$Y$3:$Y$230</c:f>
              <c:numCache>
                <c:formatCode>General</c:formatCode>
                <c:ptCount val="228"/>
                <c:pt idx="0">
                  <c:v>273</c:v>
                </c:pt>
                <c:pt idx="1">
                  <c:v>274</c:v>
                </c:pt>
                <c:pt idx="2">
                  <c:v>275</c:v>
                </c:pt>
                <c:pt idx="3">
                  <c:v>276</c:v>
                </c:pt>
                <c:pt idx="4">
                  <c:v>277</c:v>
                </c:pt>
                <c:pt idx="5">
                  <c:v>278</c:v>
                </c:pt>
                <c:pt idx="6">
                  <c:v>279</c:v>
                </c:pt>
                <c:pt idx="7">
                  <c:v>280</c:v>
                </c:pt>
                <c:pt idx="8">
                  <c:v>281</c:v>
                </c:pt>
                <c:pt idx="9">
                  <c:v>282</c:v>
                </c:pt>
                <c:pt idx="10">
                  <c:v>283</c:v>
                </c:pt>
                <c:pt idx="11">
                  <c:v>284</c:v>
                </c:pt>
                <c:pt idx="12">
                  <c:v>285</c:v>
                </c:pt>
                <c:pt idx="13">
                  <c:v>286</c:v>
                </c:pt>
                <c:pt idx="14">
                  <c:v>287</c:v>
                </c:pt>
                <c:pt idx="15">
                  <c:v>288</c:v>
                </c:pt>
                <c:pt idx="16">
                  <c:v>289</c:v>
                </c:pt>
                <c:pt idx="17">
                  <c:v>290</c:v>
                </c:pt>
                <c:pt idx="18">
                  <c:v>291</c:v>
                </c:pt>
                <c:pt idx="19">
                  <c:v>292</c:v>
                </c:pt>
                <c:pt idx="20">
                  <c:v>293</c:v>
                </c:pt>
                <c:pt idx="21">
                  <c:v>294</c:v>
                </c:pt>
                <c:pt idx="22">
                  <c:v>295</c:v>
                </c:pt>
                <c:pt idx="23">
                  <c:v>296</c:v>
                </c:pt>
                <c:pt idx="24">
                  <c:v>297</c:v>
                </c:pt>
                <c:pt idx="25">
                  <c:v>298</c:v>
                </c:pt>
                <c:pt idx="26">
                  <c:v>299</c:v>
                </c:pt>
                <c:pt idx="27">
                  <c:v>300</c:v>
                </c:pt>
                <c:pt idx="28">
                  <c:v>301</c:v>
                </c:pt>
                <c:pt idx="29">
                  <c:v>302</c:v>
                </c:pt>
                <c:pt idx="30">
                  <c:v>303</c:v>
                </c:pt>
                <c:pt idx="31">
                  <c:v>304</c:v>
                </c:pt>
                <c:pt idx="32">
                  <c:v>305</c:v>
                </c:pt>
                <c:pt idx="33">
                  <c:v>306</c:v>
                </c:pt>
                <c:pt idx="34">
                  <c:v>307</c:v>
                </c:pt>
                <c:pt idx="35">
                  <c:v>308</c:v>
                </c:pt>
                <c:pt idx="36">
                  <c:v>309</c:v>
                </c:pt>
                <c:pt idx="37">
                  <c:v>310</c:v>
                </c:pt>
                <c:pt idx="38">
                  <c:v>311</c:v>
                </c:pt>
                <c:pt idx="39">
                  <c:v>312</c:v>
                </c:pt>
                <c:pt idx="40">
                  <c:v>313</c:v>
                </c:pt>
                <c:pt idx="41">
                  <c:v>314</c:v>
                </c:pt>
                <c:pt idx="42">
                  <c:v>315</c:v>
                </c:pt>
                <c:pt idx="43">
                  <c:v>316</c:v>
                </c:pt>
                <c:pt idx="44">
                  <c:v>317</c:v>
                </c:pt>
                <c:pt idx="45">
                  <c:v>318</c:v>
                </c:pt>
                <c:pt idx="46">
                  <c:v>319</c:v>
                </c:pt>
                <c:pt idx="47">
                  <c:v>320</c:v>
                </c:pt>
                <c:pt idx="48">
                  <c:v>321</c:v>
                </c:pt>
                <c:pt idx="49">
                  <c:v>322</c:v>
                </c:pt>
                <c:pt idx="50">
                  <c:v>323</c:v>
                </c:pt>
                <c:pt idx="51">
                  <c:v>324</c:v>
                </c:pt>
                <c:pt idx="52">
                  <c:v>325</c:v>
                </c:pt>
                <c:pt idx="53">
                  <c:v>326</c:v>
                </c:pt>
                <c:pt idx="54">
                  <c:v>327</c:v>
                </c:pt>
                <c:pt idx="55">
                  <c:v>328</c:v>
                </c:pt>
                <c:pt idx="56">
                  <c:v>329</c:v>
                </c:pt>
                <c:pt idx="57">
                  <c:v>330</c:v>
                </c:pt>
                <c:pt idx="58">
                  <c:v>331</c:v>
                </c:pt>
                <c:pt idx="59">
                  <c:v>332</c:v>
                </c:pt>
                <c:pt idx="60">
                  <c:v>333</c:v>
                </c:pt>
                <c:pt idx="61">
                  <c:v>334</c:v>
                </c:pt>
                <c:pt idx="62">
                  <c:v>335</c:v>
                </c:pt>
                <c:pt idx="63">
                  <c:v>336</c:v>
                </c:pt>
                <c:pt idx="64">
                  <c:v>337</c:v>
                </c:pt>
                <c:pt idx="65">
                  <c:v>338</c:v>
                </c:pt>
                <c:pt idx="66">
                  <c:v>339</c:v>
                </c:pt>
                <c:pt idx="67">
                  <c:v>340</c:v>
                </c:pt>
                <c:pt idx="68">
                  <c:v>341</c:v>
                </c:pt>
                <c:pt idx="69">
                  <c:v>342</c:v>
                </c:pt>
                <c:pt idx="70">
                  <c:v>343</c:v>
                </c:pt>
                <c:pt idx="71">
                  <c:v>344</c:v>
                </c:pt>
                <c:pt idx="72">
                  <c:v>345</c:v>
                </c:pt>
                <c:pt idx="73">
                  <c:v>346</c:v>
                </c:pt>
                <c:pt idx="74">
                  <c:v>347</c:v>
                </c:pt>
                <c:pt idx="75">
                  <c:v>348</c:v>
                </c:pt>
                <c:pt idx="76">
                  <c:v>349</c:v>
                </c:pt>
                <c:pt idx="77">
                  <c:v>350</c:v>
                </c:pt>
                <c:pt idx="78">
                  <c:v>351</c:v>
                </c:pt>
                <c:pt idx="79">
                  <c:v>352</c:v>
                </c:pt>
                <c:pt idx="80">
                  <c:v>353</c:v>
                </c:pt>
                <c:pt idx="81">
                  <c:v>354</c:v>
                </c:pt>
                <c:pt idx="82">
                  <c:v>355</c:v>
                </c:pt>
                <c:pt idx="83">
                  <c:v>356</c:v>
                </c:pt>
                <c:pt idx="84">
                  <c:v>357</c:v>
                </c:pt>
                <c:pt idx="85">
                  <c:v>358</c:v>
                </c:pt>
                <c:pt idx="86">
                  <c:v>359</c:v>
                </c:pt>
                <c:pt idx="87">
                  <c:v>360</c:v>
                </c:pt>
                <c:pt idx="88">
                  <c:v>361</c:v>
                </c:pt>
                <c:pt idx="89">
                  <c:v>362</c:v>
                </c:pt>
                <c:pt idx="90">
                  <c:v>363</c:v>
                </c:pt>
                <c:pt idx="91">
                  <c:v>364</c:v>
                </c:pt>
                <c:pt idx="92">
                  <c:v>365</c:v>
                </c:pt>
                <c:pt idx="93">
                  <c:v>366</c:v>
                </c:pt>
                <c:pt idx="94">
                  <c:v>367</c:v>
                </c:pt>
                <c:pt idx="95">
                  <c:v>368</c:v>
                </c:pt>
                <c:pt idx="96">
                  <c:v>369</c:v>
                </c:pt>
                <c:pt idx="97">
                  <c:v>370</c:v>
                </c:pt>
                <c:pt idx="98">
                  <c:v>371</c:v>
                </c:pt>
                <c:pt idx="99">
                  <c:v>372</c:v>
                </c:pt>
                <c:pt idx="100">
                  <c:v>373</c:v>
                </c:pt>
                <c:pt idx="101">
                  <c:v>374</c:v>
                </c:pt>
                <c:pt idx="102">
                  <c:v>375</c:v>
                </c:pt>
                <c:pt idx="103">
                  <c:v>376</c:v>
                </c:pt>
                <c:pt idx="104">
                  <c:v>377</c:v>
                </c:pt>
                <c:pt idx="105">
                  <c:v>378</c:v>
                </c:pt>
                <c:pt idx="106">
                  <c:v>379</c:v>
                </c:pt>
                <c:pt idx="107">
                  <c:v>380</c:v>
                </c:pt>
                <c:pt idx="108">
                  <c:v>381</c:v>
                </c:pt>
                <c:pt idx="109">
                  <c:v>382</c:v>
                </c:pt>
                <c:pt idx="110">
                  <c:v>383</c:v>
                </c:pt>
                <c:pt idx="111">
                  <c:v>384</c:v>
                </c:pt>
                <c:pt idx="112">
                  <c:v>385</c:v>
                </c:pt>
                <c:pt idx="113">
                  <c:v>386</c:v>
                </c:pt>
                <c:pt idx="114">
                  <c:v>387</c:v>
                </c:pt>
                <c:pt idx="115">
                  <c:v>388</c:v>
                </c:pt>
                <c:pt idx="116">
                  <c:v>389</c:v>
                </c:pt>
                <c:pt idx="117">
                  <c:v>390</c:v>
                </c:pt>
                <c:pt idx="118">
                  <c:v>391</c:v>
                </c:pt>
                <c:pt idx="119">
                  <c:v>392</c:v>
                </c:pt>
                <c:pt idx="120">
                  <c:v>393</c:v>
                </c:pt>
                <c:pt idx="121">
                  <c:v>394</c:v>
                </c:pt>
                <c:pt idx="122">
                  <c:v>395</c:v>
                </c:pt>
                <c:pt idx="123">
                  <c:v>396</c:v>
                </c:pt>
                <c:pt idx="124">
                  <c:v>397</c:v>
                </c:pt>
                <c:pt idx="125">
                  <c:v>398</c:v>
                </c:pt>
                <c:pt idx="126">
                  <c:v>399</c:v>
                </c:pt>
                <c:pt idx="127">
                  <c:v>400</c:v>
                </c:pt>
                <c:pt idx="128">
                  <c:v>401</c:v>
                </c:pt>
                <c:pt idx="129">
                  <c:v>402</c:v>
                </c:pt>
                <c:pt idx="130">
                  <c:v>403</c:v>
                </c:pt>
                <c:pt idx="131">
                  <c:v>404</c:v>
                </c:pt>
                <c:pt idx="132">
                  <c:v>405</c:v>
                </c:pt>
                <c:pt idx="133">
                  <c:v>406</c:v>
                </c:pt>
                <c:pt idx="134">
                  <c:v>407</c:v>
                </c:pt>
                <c:pt idx="135">
                  <c:v>408</c:v>
                </c:pt>
                <c:pt idx="136">
                  <c:v>409</c:v>
                </c:pt>
                <c:pt idx="137">
                  <c:v>410</c:v>
                </c:pt>
                <c:pt idx="138">
                  <c:v>411</c:v>
                </c:pt>
                <c:pt idx="139">
                  <c:v>412</c:v>
                </c:pt>
                <c:pt idx="140">
                  <c:v>413</c:v>
                </c:pt>
                <c:pt idx="141">
                  <c:v>414</c:v>
                </c:pt>
                <c:pt idx="142">
                  <c:v>415</c:v>
                </c:pt>
                <c:pt idx="143">
                  <c:v>416</c:v>
                </c:pt>
                <c:pt idx="144">
                  <c:v>417</c:v>
                </c:pt>
                <c:pt idx="145">
                  <c:v>418</c:v>
                </c:pt>
                <c:pt idx="146">
                  <c:v>419</c:v>
                </c:pt>
                <c:pt idx="147">
                  <c:v>420</c:v>
                </c:pt>
                <c:pt idx="148">
                  <c:v>421</c:v>
                </c:pt>
                <c:pt idx="149">
                  <c:v>422</c:v>
                </c:pt>
                <c:pt idx="150">
                  <c:v>423</c:v>
                </c:pt>
                <c:pt idx="151">
                  <c:v>424</c:v>
                </c:pt>
                <c:pt idx="152">
                  <c:v>425</c:v>
                </c:pt>
                <c:pt idx="153">
                  <c:v>426</c:v>
                </c:pt>
                <c:pt idx="154">
                  <c:v>427</c:v>
                </c:pt>
                <c:pt idx="155">
                  <c:v>428</c:v>
                </c:pt>
                <c:pt idx="156">
                  <c:v>429</c:v>
                </c:pt>
                <c:pt idx="157">
                  <c:v>430</c:v>
                </c:pt>
                <c:pt idx="158">
                  <c:v>431</c:v>
                </c:pt>
                <c:pt idx="159">
                  <c:v>432</c:v>
                </c:pt>
                <c:pt idx="160">
                  <c:v>433</c:v>
                </c:pt>
                <c:pt idx="161">
                  <c:v>434</c:v>
                </c:pt>
                <c:pt idx="162">
                  <c:v>435</c:v>
                </c:pt>
                <c:pt idx="163">
                  <c:v>436</c:v>
                </c:pt>
                <c:pt idx="164">
                  <c:v>437</c:v>
                </c:pt>
                <c:pt idx="165">
                  <c:v>438</c:v>
                </c:pt>
                <c:pt idx="166">
                  <c:v>439</c:v>
                </c:pt>
                <c:pt idx="167">
                  <c:v>440</c:v>
                </c:pt>
                <c:pt idx="168">
                  <c:v>441</c:v>
                </c:pt>
                <c:pt idx="169">
                  <c:v>442</c:v>
                </c:pt>
                <c:pt idx="170">
                  <c:v>443</c:v>
                </c:pt>
                <c:pt idx="171">
                  <c:v>444</c:v>
                </c:pt>
                <c:pt idx="172">
                  <c:v>445</c:v>
                </c:pt>
                <c:pt idx="173">
                  <c:v>446</c:v>
                </c:pt>
                <c:pt idx="174">
                  <c:v>447</c:v>
                </c:pt>
                <c:pt idx="175">
                  <c:v>448</c:v>
                </c:pt>
                <c:pt idx="176">
                  <c:v>449</c:v>
                </c:pt>
                <c:pt idx="177">
                  <c:v>450</c:v>
                </c:pt>
                <c:pt idx="178">
                  <c:v>451</c:v>
                </c:pt>
                <c:pt idx="179">
                  <c:v>452</c:v>
                </c:pt>
                <c:pt idx="180">
                  <c:v>453</c:v>
                </c:pt>
                <c:pt idx="181">
                  <c:v>454</c:v>
                </c:pt>
                <c:pt idx="182">
                  <c:v>455</c:v>
                </c:pt>
                <c:pt idx="183">
                  <c:v>456</c:v>
                </c:pt>
                <c:pt idx="184">
                  <c:v>457</c:v>
                </c:pt>
                <c:pt idx="185">
                  <c:v>458</c:v>
                </c:pt>
                <c:pt idx="186">
                  <c:v>459</c:v>
                </c:pt>
                <c:pt idx="187">
                  <c:v>460</c:v>
                </c:pt>
                <c:pt idx="188">
                  <c:v>461</c:v>
                </c:pt>
                <c:pt idx="189">
                  <c:v>462</c:v>
                </c:pt>
                <c:pt idx="190">
                  <c:v>463</c:v>
                </c:pt>
                <c:pt idx="191">
                  <c:v>464</c:v>
                </c:pt>
                <c:pt idx="192">
                  <c:v>465</c:v>
                </c:pt>
                <c:pt idx="193">
                  <c:v>466</c:v>
                </c:pt>
                <c:pt idx="194">
                  <c:v>467</c:v>
                </c:pt>
                <c:pt idx="195">
                  <c:v>468</c:v>
                </c:pt>
                <c:pt idx="196">
                  <c:v>469</c:v>
                </c:pt>
                <c:pt idx="197">
                  <c:v>470</c:v>
                </c:pt>
                <c:pt idx="198">
                  <c:v>471</c:v>
                </c:pt>
                <c:pt idx="199">
                  <c:v>472</c:v>
                </c:pt>
                <c:pt idx="200">
                  <c:v>473</c:v>
                </c:pt>
                <c:pt idx="201">
                  <c:v>474</c:v>
                </c:pt>
                <c:pt idx="202">
                  <c:v>475</c:v>
                </c:pt>
                <c:pt idx="203">
                  <c:v>476</c:v>
                </c:pt>
                <c:pt idx="204">
                  <c:v>477</c:v>
                </c:pt>
                <c:pt idx="205">
                  <c:v>478</c:v>
                </c:pt>
                <c:pt idx="206">
                  <c:v>479</c:v>
                </c:pt>
                <c:pt idx="207">
                  <c:v>480</c:v>
                </c:pt>
                <c:pt idx="208">
                  <c:v>481</c:v>
                </c:pt>
                <c:pt idx="209">
                  <c:v>482</c:v>
                </c:pt>
                <c:pt idx="210">
                  <c:v>483</c:v>
                </c:pt>
                <c:pt idx="211">
                  <c:v>484</c:v>
                </c:pt>
                <c:pt idx="212">
                  <c:v>485</c:v>
                </c:pt>
                <c:pt idx="213">
                  <c:v>486</c:v>
                </c:pt>
                <c:pt idx="214">
                  <c:v>487</c:v>
                </c:pt>
                <c:pt idx="215">
                  <c:v>488</c:v>
                </c:pt>
                <c:pt idx="216">
                  <c:v>489</c:v>
                </c:pt>
                <c:pt idx="217">
                  <c:v>490</c:v>
                </c:pt>
                <c:pt idx="218">
                  <c:v>491</c:v>
                </c:pt>
                <c:pt idx="219">
                  <c:v>492</c:v>
                </c:pt>
                <c:pt idx="220">
                  <c:v>493</c:v>
                </c:pt>
                <c:pt idx="221">
                  <c:v>494</c:v>
                </c:pt>
                <c:pt idx="222">
                  <c:v>495</c:v>
                </c:pt>
                <c:pt idx="223">
                  <c:v>496</c:v>
                </c:pt>
                <c:pt idx="224">
                  <c:v>497</c:v>
                </c:pt>
                <c:pt idx="225">
                  <c:v>498</c:v>
                </c:pt>
                <c:pt idx="226">
                  <c:v>499</c:v>
                </c:pt>
                <c:pt idx="227">
                  <c:v>500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6E5E-4FEE-A151-3081192B650F}"/>
            </c:ext>
          </c:extLst>
        </c:ser>
        <c:ser>
          <c:idx val="6"/>
          <c:order val="2"/>
          <c:tx>
            <c:strRef>
              <c:f>List1!$Y$2</c:f>
              <c:strCache>
                <c:ptCount val="1"/>
                <c:pt idx="0">
                  <c:v>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List1!$X$3:$X$230</c:f>
              <c:numCache>
                <c:formatCode>General</c:formatCode>
                <c:ptCount val="228"/>
                <c:pt idx="0">
                  <c:v>1.7454097047617863</c:v>
                </c:pt>
                <c:pt idx="1">
                  <c:v>1.7452439723278919</c:v>
                </c:pt>
                <c:pt idx="2">
                  <c:v>1.7450954296239909</c:v>
                </c:pt>
                <c:pt idx="3">
                  <c:v>1.7449637387150259</c:v>
                </c:pt>
                <c:pt idx="4">
                  <c:v>1.7448485673378957</c:v>
                </c:pt>
                <c:pt idx="5">
                  <c:v>1.744749588791072</c:v>
                </c:pt>
                <c:pt idx="6">
                  <c:v>1.7446664818249453</c:v>
                </c:pt>
                <c:pt idx="7">
                  <c:v>1.7445989305328053</c:v>
                </c:pt>
                <c:pt idx="8">
                  <c:v>1.7445466242425101</c:v>
                </c:pt>
                <c:pt idx="9">
                  <c:v>1.7445092574087853</c:v>
                </c:pt>
                <c:pt idx="10">
                  <c:v>1.7444865295061738</c:v>
                </c:pt>
                <c:pt idx="11">
                  <c:v>1.7444781449225826</c:v>
                </c:pt>
                <c:pt idx="12">
                  <c:v>1.7444838128534825</c:v>
                </c:pt>
                <c:pt idx="13">
                  <c:v>1.7445032471966819</c:v>
                </c:pt>
                <c:pt idx="14">
                  <c:v>1.744536166447715</c:v>
                </c:pt>
                <c:pt idx="15">
                  <c:v>1.7445822935958104</c:v>
                </c:pt>
                <c:pt idx="16">
                  <c:v>1.7446413560204608</c:v>
                </c:pt>
                <c:pt idx="17">
                  <c:v>1.7447130853885426</c:v>
                </c:pt>
                <c:pt idx="18">
                  <c:v>1.7447972175520319</c:v>
                </c:pt>
                <c:pt idx="19">
                  <c:v>1.7448934924462645</c:v>
                </c:pt>
                <c:pt idx="20">
                  <c:v>1.7450016539887465</c:v>
                </c:pt>
                <c:pt idx="21">
                  <c:v>1.745121449978533</c:v>
                </c:pt>
                <c:pt idx="22">
                  <c:v>1.7452526319961212</c:v>
                </c:pt>
                <c:pt idx="23">
                  <c:v>1.7453949553038903</c:v>
                </c:pt>
                <c:pt idx="24">
                  <c:v>1.745548178747051</c:v>
                </c:pt>
                <c:pt idx="25">
                  <c:v>1.7457120646551012</c:v>
                </c:pt>
                <c:pt idx="26">
                  <c:v>1.7458863787437831</c:v>
                </c:pt>
                <c:pt idx="27">
                  <c:v>1.7460708900175383</c:v>
                </c:pt>
                <c:pt idx="28">
                  <c:v>1.7462653706723925</c:v>
                </c:pt>
                <c:pt idx="29">
                  <c:v>1.7464695959993441</c:v>
                </c:pt>
                <c:pt idx="30">
                  <c:v>1.7466833442881553</c:v>
                </c:pt>
                <c:pt idx="31">
                  <c:v>1.7469063967315774</c:v>
                </c:pt>
                <c:pt idx="32">
                  <c:v>1.7471385373299742</c:v>
                </c:pt>
                <c:pt idx="33">
                  <c:v>1.7473795527963227</c:v>
                </c:pt>
                <c:pt idx="34">
                  <c:v>1.7476292324615619</c:v>
                </c:pt>
                <c:pt idx="35">
                  <c:v>1.7478873681802882</c:v>
                </c:pt>
                <c:pt idx="36">
                  <c:v>1.7481537542367256</c:v>
                </c:pt>
                <c:pt idx="37">
                  <c:v>1.7484281872509952</c:v>
                </c:pt>
                <c:pt idx="38">
                  <c:v>1.7487104660856125</c:v>
                </c:pt>
                <c:pt idx="39">
                  <c:v>1.7490003917521753</c:v>
                </c:pt>
                <c:pt idx="40">
                  <c:v>1.749297767318257</c:v>
                </c:pt>
                <c:pt idx="41">
                  <c:v>1.7496023978143871</c:v>
                </c:pt>
                <c:pt idx="42">
                  <c:v>1.7499140901411592</c:v>
                </c:pt>
                <c:pt idx="43">
                  <c:v>1.7502326529763415</c:v>
                </c:pt>
                <c:pt idx="44">
                  <c:v>1.7505578966820232</c:v>
                </c:pt>
                <c:pt idx="45">
                  <c:v>1.7508896332116617</c:v>
                </c:pt>
                <c:pt idx="46">
                  <c:v>1.751227676017058</c:v>
                </c:pt>
                <c:pt idx="47">
                  <c:v>1.7515718399551308</c:v>
                </c:pt>
                <c:pt idx="48">
                  <c:v>1.7519219411944811</c:v>
                </c:pt>
                <c:pt idx="49">
                  <c:v>1.7522777971216472</c:v>
                </c:pt>
                <c:pt idx="50">
                  <c:v>1.7526392262470065</c:v>
                </c:pt>
                <c:pt idx="51">
                  <c:v>1.7530060481102161</c:v>
                </c:pt>
                <c:pt idx="52">
                  <c:v>1.7533780831851655</c:v>
                </c:pt>
                <c:pt idx="53">
                  <c:v>1.7537551527843021</c:v>
                </c:pt>
                <c:pt idx="54">
                  <c:v>1.7541370789622843</c:v>
                </c:pt>
                <c:pt idx="55">
                  <c:v>1.7545236844188457</c:v>
                </c:pt>
                <c:pt idx="56">
                  <c:v>1.7549147924007877</c:v>
                </c:pt>
                <c:pt idx="57">
                  <c:v>1.7553102266029692</c:v>
                </c:pt>
                <c:pt idx="58">
                  <c:v>1.7557098110682272</c:v>
                </c:pt>
                <c:pt idx="59">
                  <c:v>1.7561133700860598</c:v>
                </c:pt>
                <c:pt idx="60">
                  <c:v>1.7565207280899944</c:v>
                </c:pt>
                <c:pt idx="61">
                  <c:v>1.75693170955347</c:v>
                </c:pt>
                <c:pt idx="62">
                  <c:v>1.7573461388841234</c:v>
                </c:pt>
                <c:pt idx="63">
                  <c:v>1.7577638403163134</c:v>
                </c:pt>
                <c:pt idx="64">
                  <c:v>1.7581846378017356</c:v>
                </c:pt>
                <c:pt idx="65">
                  <c:v>1.7586083548979556</c:v>
                </c:pt>
                <c:pt idx="66">
                  <c:v>1.7590348146546844</c:v>
                </c:pt>
                <c:pt idx="67">
                  <c:v>1.7594638394976234</c:v>
                </c:pt>
                <c:pt idx="68">
                  <c:v>1.7598952511096366</c:v>
                </c:pt>
                <c:pt idx="69">
                  <c:v>1.7603288703090998</c:v>
                </c:pt>
                <c:pt idx="70">
                  <c:v>1.7607645169251565</c:v>
                </c:pt>
                <c:pt idx="71">
                  <c:v>1.7612020096696366</c:v>
                </c:pt>
                <c:pt idx="72">
                  <c:v>1.7616411660054216</c:v>
                </c:pt>
                <c:pt idx="73">
                  <c:v>1.7620818020109525</c:v>
                </c:pt>
                <c:pt idx="74">
                  <c:v>1.7625237322405878</c:v>
                </c:pt>
                <c:pt idx="75">
                  <c:v>1.7629667695805267</c:v>
                </c:pt>
                <c:pt idx="76">
                  <c:v>1.7634107250999391</c:v>
                </c:pt>
                <c:pt idx="77">
                  <c:v>1.7638554078969617</c:v>
                </c:pt>
                <c:pt idx="78">
                  <c:v>1.7643006249391882</c:v>
                </c:pt>
                <c:pt idx="79">
                  <c:v>1.7647461808982305</c:v>
                </c:pt>
                <c:pt idx="80">
                  <c:v>1.765191877977935</c:v>
                </c:pt>
                <c:pt idx="81">
                  <c:v>1.7656375157357678</c:v>
                </c:pt>
                <c:pt idx="82">
                  <c:v>1.7660828908968944</c:v>
                </c:pt>
                <c:pt idx="83">
                  <c:v>1.7665277971603934</c:v>
                </c:pt>
                <c:pt idx="84">
                  <c:v>1.7669720249970484</c:v>
                </c:pt>
                <c:pt idx="85">
                  <c:v>1.7674153614380719</c:v>
                </c:pt>
                <c:pt idx="86">
                  <c:v>1.7678575898541224</c:v>
                </c:pt>
                <c:pt idx="87">
                  <c:v>1.7682984897238663</c:v>
                </c:pt>
                <c:pt idx="88">
                  <c:v>1.7687378363913209</c:v>
                </c:pt>
                <c:pt idx="89">
                  <c:v>1.7691754008111384</c:v>
                </c:pt>
                <c:pt idx="90">
                  <c:v>1.7696109492809071</c:v>
                </c:pt>
                <c:pt idx="91">
                  <c:v>1.7700442431595043</c:v>
                </c:pt>
                <c:pt idx="92">
                  <c:v>1.7704750385704127</c:v>
                </c:pt>
                <c:pt idx="93">
                  <c:v>1.7709030860888619</c:v>
                </c:pt>
                <c:pt idx="94">
                  <c:v>1.771328130411514</c:v>
                </c:pt>
                <c:pt idx="95">
                  <c:v>1.7717499100073502</c:v>
                </c:pt>
                <c:pt idx="96">
                  <c:v>1.7721681567482219</c:v>
                </c:pt>
                <c:pt idx="97">
                  <c:v>1.7725825955175092</c:v>
                </c:pt>
                <c:pt idx="98">
                  <c:v>1.7729929437950387</c:v>
                </c:pt>
                <c:pt idx="99">
                  <c:v>1.77339891121636</c:v>
                </c:pt>
                <c:pt idx="100">
                  <c:v>1.7738001991042498</c:v>
                </c:pt>
                <c:pt idx="101">
                  <c:v>1.7741964999701019</c:v>
                </c:pt>
                <c:pt idx="102">
                  <c:v>1.7745874969826536</c:v>
                </c:pt>
                <c:pt idx="103">
                  <c:v>1.7749728634012232</c:v>
                </c:pt>
                <c:pt idx="104">
                  <c:v>1.7753522619703912</c:v>
                </c:pt>
                <c:pt idx="105">
                  <c:v>1.7757253442726557</c:v>
                </c:pt>
                <c:pt idx="106">
                  <c:v>1.7760917500353401</c:v>
                </c:pt>
                <c:pt idx="107">
                  <c:v>1.7764511063875457</c:v>
                </c:pt>
                <c:pt idx="108">
                  <c:v>1.7768030270625292</c:v>
                </c:pt>
                <c:pt idx="109">
                  <c:v>1.7771471115403554</c:v>
                </c:pt>
                <c:pt idx="110">
                  <c:v>1.7774829441251319</c:v>
                </c:pt>
                <c:pt idx="111">
                  <c:v>1.7778100929504144</c:v>
                </c:pt>
                <c:pt idx="112">
                  <c:v>1.7781281089057066</c:v>
                </c:pt>
                <c:pt idx="113">
                  <c:v>1.7784365244760545</c:v>
                </c:pt>
                <c:pt idx="114">
                  <c:v>1.7787348524858244</c:v>
                </c:pt>
                <c:pt idx="115">
                  <c:v>1.7790225847366297</c:v>
                </c:pt>
                <c:pt idx="116">
                  <c:v>1.7792991905281048</c:v>
                </c:pt>
                <c:pt idx="117">
                  <c:v>1.779564115048728</c:v>
                </c:pt>
                <c:pt idx="118">
                  <c:v>1.779816777622315</c:v>
                </c:pt>
                <c:pt idx="119">
                  <c:v>1.7800565697937323</c:v>
                </c:pt>
                <c:pt idx="120">
                  <c:v>1.7802828532352128</c:v>
                </c:pt>
                <c:pt idx="121">
                  <c:v>1.7804949574520157</c:v>
                </c:pt>
                <c:pt idx="122">
                  <c:v>1.7806921772630595</c:v>
                </c:pt>
                <c:pt idx="123">
                  <c:v>1.7808737700286199</c:v>
                </c:pt>
                <c:pt idx="124">
                  <c:v>1.7810389525929595</c:v>
                </c:pt>
                <c:pt idx="125">
                  <c:v>1.7811868979047438</c:v>
                </c:pt>
                <c:pt idx="126">
                  <c:v>1.7813167312721887</c:v>
                </c:pt>
                <c:pt idx="127">
                  <c:v>1.7814275262029899</c:v>
                </c:pt>
                <c:pt idx="128">
                  <c:v>1.7815182997705039</c:v>
                </c:pt>
                <c:pt idx="129">
                  <c:v>1.7815880074377937</c:v>
                </c:pt>
                <c:pt idx="130">
                  <c:v>1.7816355372589621</c:v>
                </c:pt>
                <c:pt idx="131">
                  <c:v>1.781659703362541</c:v>
                </c:pt>
                <c:pt idx="132">
                  <c:v>1.7816592386038583</c:v>
                </c:pt>
                <c:pt idx="133">
                  <c:v>1.7816327862515684</c:v>
                </c:pt>
                <c:pt idx="134">
                  <c:v>1.7815788905465797</c:v>
                </c:pt>
                <c:pt idx="135">
                  <c:v>1.781495985938494</c:v>
                </c:pt>
                <c:pt idx="136">
                  <c:v>1.7813823847632333</c:v>
                </c:pt>
                <c:pt idx="137">
                  <c:v>1.7812362630737861</c:v>
                </c:pt>
                <c:pt idx="138">
                  <c:v>1.7810556442704455</c:v>
                </c:pt>
                <c:pt idx="139">
                  <c:v>1.7808383800938807</c:v>
                </c:pt>
                <c:pt idx="140">
                  <c:v>1.7805821284375538</c:v>
                </c:pt>
                <c:pt idx="141">
                  <c:v>1.7802843272984028</c:v>
                </c:pt>
                <c:pt idx="142">
                  <c:v>1.7799421640048965</c:v>
                </c:pt>
                <c:pt idx="143">
                  <c:v>1.7795525386250637</c:v>
                </c:pt>
                <c:pt idx="144">
                  <c:v>1.7791120201425861</c:v>
                </c:pt>
                <c:pt idx="145">
                  <c:v>1.7786167935658663</c:v>
                </c:pt>
                <c:pt idx="146">
                  <c:v>1.7780625955592357</c:v>
                </c:pt>
                <c:pt idx="147">
                  <c:v>1.7774446353918021</c:v>
                </c:pt>
                <c:pt idx="148">
                  <c:v>1.776757496889402</c:v>
                </c:pt>
                <c:pt idx="149">
                  <c:v>1.775995015499457</c:v>
                </c:pt>
                <c:pt idx="150">
                  <c:v>1.7751501223031105</c:v>
                </c:pt>
                <c:pt idx="151">
                  <c:v>1.7742146434618915</c:v>
                </c:pt>
                <c:pt idx="152">
                  <c:v>1.773179038559739</c:v>
                </c:pt>
                <c:pt idx="153">
                  <c:v>1.7720320535783629</c:v>
                </c:pt>
                <c:pt idx="154">
                  <c:v>1.7707602520665813</c:v>
                </c:pt>
                <c:pt idx="155">
                  <c:v>1.7693473682966543</c:v>
                </c:pt>
                <c:pt idx="156">
                  <c:v>1.7677733930231911</c:v>
                </c:pt>
                <c:pt idx="157">
                  <c:v>1.7660132445969654</c:v>
                </c:pt>
                <c:pt idx="158">
                  <c:v>1.7640347726465597</c:v>
                </c:pt>
                <c:pt idx="159">
                  <c:v>1.7617956385578011</c:v>
                </c:pt>
                <c:pt idx="160">
                  <c:v>1.7592382008346104</c:v>
                </c:pt>
                <c:pt idx="161">
                  <c:v>1.7562806104196662</c:v>
                </c:pt>
                <c:pt idx="162">
                  <c:v>1.7528000589997077</c:v>
                </c:pt>
                <c:pt idx="163">
                  <c:v>1.7485977986326353</c:v>
                </c:pt>
                <c:pt idx="164">
                  <c:v>1.7433142745833841</c:v>
                </c:pt>
                <c:pt idx="165">
                  <c:v>1.7361672413554856</c:v>
                </c:pt>
                <c:pt idx="166">
                  <c:v>1.7246268756233929</c:v>
                </c:pt>
              </c:numCache>
            </c:numRef>
          </c:xVal>
          <c:yVal>
            <c:numRef>
              <c:f>List1!$Y$3:$Y$230</c:f>
              <c:numCache>
                <c:formatCode>General</c:formatCode>
                <c:ptCount val="228"/>
                <c:pt idx="0">
                  <c:v>273</c:v>
                </c:pt>
                <c:pt idx="1">
                  <c:v>274</c:v>
                </c:pt>
                <c:pt idx="2">
                  <c:v>275</c:v>
                </c:pt>
                <c:pt idx="3">
                  <c:v>276</c:v>
                </c:pt>
                <c:pt idx="4">
                  <c:v>277</c:v>
                </c:pt>
                <c:pt idx="5">
                  <c:v>278</c:v>
                </c:pt>
                <c:pt idx="6">
                  <c:v>279</c:v>
                </c:pt>
                <c:pt idx="7">
                  <c:v>280</c:v>
                </c:pt>
                <c:pt idx="8">
                  <c:v>281</c:v>
                </c:pt>
                <c:pt idx="9">
                  <c:v>282</c:v>
                </c:pt>
                <c:pt idx="10">
                  <c:v>283</c:v>
                </c:pt>
                <c:pt idx="11">
                  <c:v>284</c:v>
                </c:pt>
                <c:pt idx="12">
                  <c:v>285</c:v>
                </c:pt>
                <c:pt idx="13">
                  <c:v>286</c:v>
                </c:pt>
                <c:pt idx="14">
                  <c:v>287</c:v>
                </c:pt>
                <c:pt idx="15">
                  <c:v>288</c:v>
                </c:pt>
                <c:pt idx="16">
                  <c:v>289</c:v>
                </c:pt>
                <c:pt idx="17">
                  <c:v>290</c:v>
                </c:pt>
                <c:pt idx="18">
                  <c:v>291</c:v>
                </c:pt>
                <c:pt idx="19">
                  <c:v>292</c:v>
                </c:pt>
                <c:pt idx="20">
                  <c:v>293</c:v>
                </c:pt>
                <c:pt idx="21">
                  <c:v>294</c:v>
                </c:pt>
                <c:pt idx="22">
                  <c:v>295</c:v>
                </c:pt>
                <c:pt idx="23">
                  <c:v>296</c:v>
                </c:pt>
                <c:pt idx="24">
                  <c:v>297</c:v>
                </c:pt>
                <c:pt idx="25">
                  <c:v>298</c:v>
                </c:pt>
                <c:pt idx="26">
                  <c:v>299</c:v>
                </c:pt>
                <c:pt idx="27">
                  <c:v>300</c:v>
                </c:pt>
                <c:pt idx="28">
                  <c:v>301</c:v>
                </c:pt>
                <c:pt idx="29">
                  <c:v>302</c:v>
                </c:pt>
                <c:pt idx="30">
                  <c:v>303</c:v>
                </c:pt>
                <c:pt idx="31">
                  <c:v>304</c:v>
                </c:pt>
                <c:pt idx="32">
                  <c:v>305</c:v>
                </c:pt>
                <c:pt idx="33">
                  <c:v>306</c:v>
                </c:pt>
                <c:pt idx="34">
                  <c:v>307</c:v>
                </c:pt>
                <c:pt idx="35">
                  <c:v>308</c:v>
                </c:pt>
                <c:pt idx="36">
                  <c:v>309</c:v>
                </c:pt>
                <c:pt idx="37">
                  <c:v>310</c:v>
                </c:pt>
                <c:pt idx="38">
                  <c:v>311</c:v>
                </c:pt>
                <c:pt idx="39">
                  <c:v>312</c:v>
                </c:pt>
                <c:pt idx="40">
                  <c:v>313</c:v>
                </c:pt>
                <c:pt idx="41">
                  <c:v>314</c:v>
                </c:pt>
                <c:pt idx="42">
                  <c:v>315</c:v>
                </c:pt>
                <c:pt idx="43">
                  <c:v>316</c:v>
                </c:pt>
                <c:pt idx="44">
                  <c:v>317</c:v>
                </c:pt>
                <c:pt idx="45">
                  <c:v>318</c:v>
                </c:pt>
                <c:pt idx="46">
                  <c:v>319</c:v>
                </c:pt>
                <c:pt idx="47">
                  <c:v>320</c:v>
                </c:pt>
                <c:pt idx="48">
                  <c:v>321</c:v>
                </c:pt>
                <c:pt idx="49">
                  <c:v>322</c:v>
                </c:pt>
                <c:pt idx="50">
                  <c:v>323</c:v>
                </c:pt>
                <c:pt idx="51">
                  <c:v>324</c:v>
                </c:pt>
                <c:pt idx="52">
                  <c:v>325</c:v>
                </c:pt>
                <c:pt idx="53">
                  <c:v>326</c:v>
                </c:pt>
                <c:pt idx="54">
                  <c:v>327</c:v>
                </c:pt>
                <c:pt idx="55">
                  <c:v>328</c:v>
                </c:pt>
                <c:pt idx="56">
                  <c:v>329</c:v>
                </c:pt>
                <c:pt idx="57">
                  <c:v>330</c:v>
                </c:pt>
                <c:pt idx="58">
                  <c:v>331</c:v>
                </c:pt>
                <c:pt idx="59">
                  <c:v>332</c:v>
                </c:pt>
                <c:pt idx="60">
                  <c:v>333</c:v>
                </c:pt>
                <c:pt idx="61">
                  <c:v>334</c:v>
                </c:pt>
                <c:pt idx="62">
                  <c:v>335</c:v>
                </c:pt>
                <c:pt idx="63">
                  <c:v>336</c:v>
                </c:pt>
                <c:pt idx="64">
                  <c:v>337</c:v>
                </c:pt>
                <c:pt idx="65">
                  <c:v>338</c:v>
                </c:pt>
                <c:pt idx="66">
                  <c:v>339</c:v>
                </c:pt>
                <c:pt idx="67">
                  <c:v>340</c:v>
                </c:pt>
                <c:pt idx="68">
                  <c:v>341</c:v>
                </c:pt>
                <c:pt idx="69">
                  <c:v>342</c:v>
                </c:pt>
                <c:pt idx="70">
                  <c:v>343</c:v>
                </c:pt>
                <c:pt idx="71">
                  <c:v>344</c:v>
                </c:pt>
                <c:pt idx="72">
                  <c:v>345</c:v>
                </c:pt>
                <c:pt idx="73">
                  <c:v>346</c:v>
                </c:pt>
                <c:pt idx="74">
                  <c:v>347</c:v>
                </c:pt>
                <c:pt idx="75">
                  <c:v>348</c:v>
                </c:pt>
                <c:pt idx="76">
                  <c:v>349</c:v>
                </c:pt>
                <c:pt idx="77">
                  <c:v>350</c:v>
                </c:pt>
                <c:pt idx="78">
                  <c:v>351</c:v>
                </c:pt>
                <c:pt idx="79">
                  <c:v>352</c:v>
                </c:pt>
                <c:pt idx="80">
                  <c:v>353</c:v>
                </c:pt>
                <c:pt idx="81">
                  <c:v>354</c:v>
                </c:pt>
                <c:pt idx="82">
                  <c:v>355</c:v>
                </c:pt>
                <c:pt idx="83">
                  <c:v>356</c:v>
                </c:pt>
                <c:pt idx="84">
                  <c:v>357</c:v>
                </c:pt>
                <c:pt idx="85">
                  <c:v>358</c:v>
                </c:pt>
                <c:pt idx="86">
                  <c:v>359</c:v>
                </c:pt>
                <c:pt idx="87">
                  <c:v>360</c:v>
                </c:pt>
                <c:pt idx="88">
                  <c:v>361</c:v>
                </c:pt>
                <c:pt idx="89">
                  <c:v>362</c:v>
                </c:pt>
                <c:pt idx="90">
                  <c:v>363</c:v>
                </c:pt>
                <c:pt idx="91">
                  <c:v>364</c:v>
                </c:pt>
                <c:pt idx="92">
                  <c:v>365</c:v>
                </c:pt>
                <c:pt idx="93">
                  <c:v>366</c:v>
                </c:pt>
                <c:pt idx="94">
                  <c:v>367</c:v>
                </c:pt>
                <c:pt idx="95">
                  <c:v>368</c:v>
                </c:pt>
                <c:pt idx="96">
                  <c:v>369</c:v>
                </c:pt>
                <c:pt idx="97">
                  <c:v>370</c:v>
                </c:pt>
                <c:pt idx="98">
                  <c:v>371</c:v>
                </c:pt>
                <c:pt idx="99">
                  <c:v>372</c:v>
                </c:pt>
                <c:pt idx="100">
                  <c:v>373</c:v>
                </c:pt>
                <c:pt idx="101">
                  <c:v>374</c:v>
                </c:pt>
                <c:pt idx="102">
                  <c:v>375</c:v>
                </c:pt>
                <c:pt idx="103">
                  <c:v>376</c:v>
                </c:pt>
                <c:pt idx="104">
                  <c:v>377</c:v>
                </c:pt>
                <c:pt idx="105">
                  <c:v>378</c:v>
                </c:pt>
                <c:pt idx="106">
                  <c:v>379</c:v>
                </c:pt>
                <c:pt idx="107">
                  <c:v>380</c:v>
                </c:pt>
                <c:pt idx="108">
                  <c:v>381</c:v>
                </c:pt>
                <c:pt idx="109">
                  <c:v>382</c:v>
                </c:pt>
                <c:pt idx="110">
                  <c:v>383</c:v>
                </c:pt>
                <c:pt idx="111">
                  <c:v>384</c:v>
                </c:pt>
                <c:pt idx="112">
                  <c:v>385</c:v>
                </c:pt>
                <c:pt idx="113">
                  <c:v>386</c:v>
                </c:pt>
                <c:pt idx="114">
                  <c:v>387</c:v>
                </c:pt>
                <c:pt idx="115">
                  <c:v>388</c:v>
                </c:pt>
                <c:pt idx="116">
                  <c:v>389</c:v>
                </c:pt>
                <c:pt idx="117">
                  <c:v>390</c:v>
                </c:pt>
                <c:pt idx="118">
                  <c:v>391</c:v>
                </c:pt>
                <c:pt idx="119">
                  <c:v>392</c:v>
                </c:pt>
                <c:pt idx="120">
                  <c:v>393</c:v>
                </c:pt>
                <c:pt idx="121">
                  <c:v>394</c:v>
                </c:pt>
                <c:pt idx="122">
                  <c:v>395</c:v>
                </c:pt>
                <c:pt idx="123">
                  <c:v>396</c:v>
                </c:pt>
                <c:pt idx="124">
                  <c:v>397</c:v>
                </c:pt>
                <c:pt idx="125">
                  <c:v>398</c:v>
                </c:pt>
                <c:pt idx="126">
                  <c:v>399</c:v>
                </c:pt>
                <c:pt idx="127">
                  <c:v>400</c:v>
                </c:pt>
                <c:pt idx="128">
                  <c:v>401</c:v>
                </c:pt>
                <c:pt idx="129">
                  <c:v>402</c:v>
                </c:pt>
                <c:pt idx="130">
                  <c:v>403</c:v>
                </c:pt>
                <c:pt idx="131">
                  <c:v>404</c:v>
                </c:pt>
                <c:pt idx="132">
                  <c:v>405</c:v>
                </c:pt>
                <c:pt idx="133">
                  <c:v>406</c:v>
                </c:pt>
                <c:pt idx="134">
                  <c:v>407</c:v>
                </c:pt>
                <c:pt idx="135">
                  <c:v>408</c:v>
                </c:pt>
                <c:pt idx="136">
                  <c:v>409</c:v>
                </c:pt>
                <c:pt idx="137">
                  <c:v>410</c:v>
                </c:pt>
                <c:pt idx="138">
                  <c:v>411</c:v>
                </c:pt>
                <c:pt idx="139">
                  <c:v>412</c:v>
                </c:pt>
                <c:pt idx="140">
                  <c:v>413</c:v>
                </c:pt>
                <c:pt idx="141">
                  <c:v>414</c:v>
                </c:pt>
                <c:pt idx="142">
                  <c:v>415</c:v>
                </c:pt>
                <c:pt idx="143">
                  <c:v>416</c:v>
                </c:pt>
                <c:pt idx="144">
                  <c:v>417</c:v>
                </c:pt>
                <c:pt idx="145">
                  <c:v>418</c:v>
                </c:pt>
                <c:pt idx="146">
                  <c:v>419</c:v>
                </c:pt>
                <c:pt idx="147">
                  <c:v>420</c:v>
                </c:pt>
                <c:pt idx="148">
                  <c:v>421</c:v>
                </c:pt>
                <c:pt idx="149">
                  <c:v>422</c:v>
                </c:pt>
                <c:pt idx="150">
                  <c:v>423</c:v>
                </c:pt>
                <c:pt idx="151">
                  <c:v>424</c:v>
                </c:pt>
                <c:pt idx="152">
                  <c:v>425</c:v>
                </c:pt>
                <c:pt idx="153">
                  <c:v>426</c:v>
                </c:pt>
                <c:pt idx="154">
                  <c:v>427</c:v>
                </c:pt>
                <c:pt idx="155">
                  <c:v>428</c:v>
                </c:pt>
                <c:pt idx="156">
                  <c:v>429</c:v>
                </c:pt>
                <c:pt idx="157">
                  <c:v>430</c:v>
                </c:pt>
                <c:pt idx="158">
                  <c:v>431</c:v>
                </c:pt>
                <c:pt idx="159">
                  <c:v>432</c:v>
                </c:pt>
                <c:pt idx="160">
                  <c:v>433</c:v>
                </c:pt>
                <c:pt idx="161">
                  <c:v>434</c:v>
                </c:pt>
                <c:pt idx="162">
                  <c:v>435</c:v>
                </c:pt>
                <c:pt idx="163">
                  <c:v>436</c:v>
                </c:pt>
                <c:pt idx="164">
                  <c:v>437</c:v>
                </c:pt>
                <c:pt idx="165">
                  <c:v>438</c:v>
                </c:pt>
                <c:pt idx="166">
                  <c:v>439</c:v>
                </c:pt>
                <c:pt idx="167">
                  <c:v>440</c:v>
                </c:pt>
                <c:pt idx="168">
                  <c:v>441</c:v>
                </c:pt>
                <c:pt idx="169">
                  <c:v>442</c:v>
                </c:pt>
                <c:pt idx="170">
                  <c:v>443</c:v>
                </c:pt>
                <c:pt idx="171">
                  <c:v>444</c:v>
                </c:pt>
                <c:pt idx="172">
                  <c:v>445</c:v>
                </c:pt>
                <c:pt idx="173">
                  <c:v>446</c:v>
                </c:pt>
                <c:pt idx="174">
                  <c:v>447</c:v>
                </c:pt>
                <c:pt idx="175">
                  <c:v>448</c:v>
                </c:pt>
                <c:pt idx="176">
                  <c:v>449</c:v>
                </c:pt>
                <c:pt idx="177">
                  <c:v>450</c:v>
                </c:pt>
                <c:pt idx="178">
                  <c:v>451</c:v>
                </c:pt>
                <c:pt idx="179">
                  <c:v>452</c:v>
                </c:pt>
                <c:pt idx="180">
                  <c:v>453</c:v>
                </c:pt>
                <c:pt idx="181">
                  <c:v>454</c:v>
                </c:pt>
                <c:pt idx="182">
                  <c:v>455</c:v>
                </c:pt>
                <c:pt idx="183">
                  <c:v>456</c:v>
                </c:pt>
                <c:pt idx="184">
                  <c:v>457</c:v>
                </c:pt>
                <c:pt idx="185">
                  <c:v>458</c:v>
                </c:pt>
                <c:pt idx="186">
                  <c:v>459</c:v>
                </c:pt>
                <c:pt idx="187">
                  <c:v>460</c:v>
                </c:pt>
                <c:pt idx="188">
                  <c:v>461</c:v>
                </c:pt>
                <c:pt idx="189">
                  <c:v>462</c:v>
                </c:pt>
                <c:pt idx="190">
                  <c:v>463</c:v>
                </c:pt>
                <c:pt idx="191">
                  <c:v>464</c:v>
                </c:pt>
                <c:pt idx="192">
                  <c:v>465</c:v>
                </c:pt>
                <c:pt idx="193">
                  <c:v>466</c:v>
                </c:pt>
                <c:pt idx="194">
                  <c:v>467</c:v>
                </c:pt>
                <c:pt idx="195">
                  <c:v>468</c:v>
                </c:pt>
                <c:pt idx="196">
                  <c:v>469</c:v>
                </c:pt>
                <c:pt idx="197">
                  <c:v>470</c:v>
                </c:pt>
                <c:pt idx="198">
                  <c:v>471</c:v>
                </c:pt>
                <c:pt idx="199">
                  <c:v>472</c:v>
                </c:pt>
                <c:pt idx="200">
                  <c:v>473</c:v>
                </c:pt>
                <c:pt idx="201">
                  <c:v>474</c:v>
                </c:pt>
                <c:pt idx="202">
                  <c:v>475</c:v>
                </c:pt>
                <c:pt idx="203">
                  <c:v>476</c:v>
                </c:pt>
                <c:pt idx="204">
                  <c:v>477</c:v>
                </c:pt>
                <c:pt idx="205">
                  <c:v>478</c:v>
                </c:pt>
                <c:pt idx="206">
                  <c:v>479</c:v>
                </c:pt>
                <c:pt idx="207">
                  <c:v>480</c:v>
                </c:pt>
                <c:pt idx="208">
                  <c:v>481</c:v>
                </c:pt>
                <c:pt idx="209">
                  <c:v>482</c:v>
                </c:pt>
                <c:pt idx="210">
                  <c:v>483</c:v>
                </c:pt>
                <c:pt idx="211">
                  <c:v>484</c:v>
                </c:pt>
                <c:pt idx="212">
                  <c:v>485</c:v>
                </c:pt>
                <c:pt idx="213">
                  <c:v>486</c:v>
                </c:pt>
                <c:pt idx="214">
                  <c:v>487</c:v>
                </c:pt>
                <c:pt idx="215">
                  <c:v>488</c:v>
                </c:pt>
                <c:pt idx="216">
                  <c:v>489</c:v>
                </c:pt>
                <c:pt idx="217">
                  <c:v>490</c:v>
                </c:pt>
                <c:pt idx="218">
                  <c:v>491</c:v>
                </c:pt>
                <c:pt idx="219">
                  <c:v>492</c:v>
                </c:pt>
                <c:pt idx="220">
                  <c:v>493</c:v>
                </c:pt>
                <c:pt idx="221">
                  <c:v>494</c:v>
                </c:pt>
                <c:pt idx="222">
                  <c:v>495</c:v>
                </c:pt>
                <c:pt idx="223">
                  <c:v>496</c:v>
                </c:pt>
                <c:pt idx="224">
                  <c:v>497</c:v>
                </c:pt>
                <c:pt idx="225">
                  <c:v>498</c:v>
                </c:pt>
                <c:pt idx="226">
                  <c:v>499</c:v>
                </c:pt>
                <c:pt idx="227">
                  <c:v>500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2-6E5E-4FEE-A151-3081192B650F}"/>
            </c:ext>
          </c:extLst>
        </c:ser>
        <c:ser>
          <c:idx val="7"/>
          <c:order val="3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List1!$Z$3:$Z$230</c:f>
              <c:numCache>
                <c:formatCode>General</c:formatCode>
                <c:ptCount val="228"/>
                <c:pt idx="0">
                  <c:v>0.99933750803187538</c:v>
                </c:pt>
                <c:pt idx="1">
                  <c:v>1.0037510541902286</c:v>
                </c:pt>
                <c:pt idx="2">
                  <c:v>1.0081574469463552</c:v>
                </c:pt>
                <c:pt idx="3">
                  <c:v>1.0125567869867032</c:v>
                </c:pt>
                <c:pt idx="4">
                  <c:v>1.0169491737537726</c:v>
                </c:pt>
                <c:pt idx="5">
                  <c:v>1.0213347054834505</c:v>
                </c:pt>
                <c:pt idx="6">
                  <c:v>1.0257134792422344</c:v>
                </c:pt>
                <c:pt idx="7">
                  <c:v>1.0300855909643647</c:v>
                </c:pt>
                <c:pt idx="8">
                  <c:v>1.0344511354888841</c:v>
                </c:pt>
                <c:pt idx="9">
                  <c:v>1.0388102065966591</c:v>
                </c:pt>
                <c:pt idx="10">
                  <c:v>1.0431628970473807</c:v>
                </c:pt>
                <c:pt idx="11">
                  <c:v>1.0475092986165733</c:v>
                </c:pt>
                <c:pt idx="12">
                  <c:v>1.0518495021326333</c:v>
                </c:pt>
                <c:pt idx="13">
                  <c:v>1.056183597513938</c:v>
                </c:pt>
                <c:pt idx="14">
                  <c:v>1.0605116738060301</c:v>
                </c:pt>
                <c:pt idx="15">
                  <c:v>1.0648338192189284</c:v>
                </c:pt>
                <c:pt idx="16">
                  <c:v>1.0691501211645844</c:v>
                </c:pt>
                <c:pt idx="17">
                  <c:v>1.0734606662945034</c:v>
                </c:pt>
                <c:pt idx="18">
                  <c:v>1.0777655405375866</c:v>
                </c:pt>
                <c:pt idx="19">
                  <c:v>1.0820648291382045</c:v>
                </c:pt>
                <c:pt idx="20">
                  <c:v>1.0863586166945358</c:v>
                </c:pt>
                <c:pt idx="21">
                  <c:v>1.0906469871972169</c:v>
                </c:pt>
                <c:pt idx="22">
                  <c:v>1.09493002406833</c:v>
                </c:pt>
                <c:pt idx="23">
                  <c:v>1.0992078102007585</c:v>
                </c:pt>
                <c:pt idx="24">
                  <c:v>1.1034804279979595</c:v>
                </c:pt>
                <c:pt idx="25">
                  <c:v>1.1077479594141759</c:v>
                </c:pt>
                <c:pt idx="26">
                  <c:v>1.1120104859951427</c:v>
                </c:pt>
                <c:pt idx="27">
                  <c:v>1.1162680889193144</c:v>
                </c:pt>
                <c:pt idx="28">
                  <c:v>1.1205208490396701</c:v>
                </c:pt>
                <c:pt idx="29">
                  <c:v>1.1247688469261143</c:v>
                </c:pt>
                <c:pt idx="30">
                  <c:v>1.1290121629085541</c:v>
                </c:pt>
                <c:pt idx="31">
                  <c:v>1.1332508771206595</c:v>
                </c:pt>
                <c:pt idx="32">
                  <c:v>1.137485069544391</c:v>
                </c:pt>
                <c:pt idx="33">
                  <c:v>1.1417148200553242</c:v>
                </c:pt>
                <c:pt idx="34">
                  <c:v>1.1459402084688166</c:v>
                </c:pt>
                <c:pt idx="35">
                  <c:v>1.1501613145871008</c:v>
                </c:pt>
                <c:pt idx="36">
                  <c:v>1.1543782182473301</c:v>
                </c:pt>
                <c:pt idx="37">
                  <c:v>1.1585909993706511</c:v>
                </c:pt>
                <c:pt idx="38">
                  <c:v>1.162799738012368</c:v>
                </c:pt>
                <c:pt idx="39">
                  <c:v>1.1670045144132419</c:v>
                </c:pt>
                <c:pt idx="40">
                  <c:v>1.1712054090520343</c:v>
                </c:pt>
                <c:pt idx="41">
                  <c:v>1.1754025026993127</c:v>
                </c:pt>
                <c:pt idx="42">
                  <c:v>1.1795958764726386</c:v>
                </c:pt>
                <c:pt idx="43">
                  <c:v>1.1837856118931964</c:v>
                </c:pt>
                <c:pt idx="44">
                  <c:v>1.1879717909439451</c:v>
                </c:pt>
                <c:pt idx="45">
                  <c:v>1.1921544961293784</c:v>
                </c:pt>
                <c:pt idx="46">
                  <c:v>1.1963338105369987</c:v>
                </c:pt>
                <c:pt idx="47">
                  <c:v>1.2005098179005853</c:v>
                </c:pt>
                <c:pt idx="48">
                  <c:v>1.2046826026653634</c:v>
                </c:pt>
                <c:pt idx="49">
                  <c:v>1.2088522500551975</c:v>
                </c:pt>
                <c:pt idx="50">
                  <c:v>1.21301884614189</c:v>
                </c:pt>
                <c:pt idx="51">
                  <c:v>1.2171824779167402</c:v>
                </c:pt>
                <c:pt idx="52">
                  <c:v>1.221343233364478</c:v>
                </c:pt>
                <c:pt idx="53">
                  <c:v>1.2255012015397022</c:v>
                </c:pt>
                <c:pt idx="54">
                  <c:v>1.2296564726459698</c:v>
                </c:pt>
                <c:pt idx="55">
                  <c:v>1.2338091381177108</c:v>
                </c:pt>
                <c:pt idx="56">
                  <c:v>1.2379592907051005</c:v>
                </c:pt>
                <c:pt idx="57">
                  <c:v>1.2421070245620878</c:v>
                </c:pt>
                <c:pt idx="58">
                  <c:v>1.2462524353377551</c:v>
                </c:pt>
                <c:pt idx="59">
                  <c:v>1.2503956202712037</c:v>
                </c:pt>
                <c:pt idx="60">
                  <c:v>1.2545366782901983</c:v>
                </c:pt>
                <c:pt idx="61">
                  <c:v>1.2586757101137678</c:v>
                </c:pt>
                <c:pt idx="62">
                  <c:v>1.2628128183590315</c:v>
                </c:pt>
                <c:pt idx="63">
                  <c:v>1.2669481076524887</c:v>
                </c:pt>
                <c:pt idx="64">
                  <c:v>1.2710816847460729</c:v>
                </c:pt>
                <c:pt idx="65">
                  <c:v>1.2752136586382534</c:v>
                </c:pt>
                <c:pt idx="66">
                  <c:v>1.2793441407005086</c:v>
                </c:pt>
                <c:pt idx="67">
                  <c:v>1.2834732448095265</c:v>
                </c:pt>
                <c:pt idx="68">
                  <c:v>1.2876010874854906</c:v>
                </c:pt>
                <c:pt idx="69">
                  <c:v>1.2917277880368716</c:v>
                </c:pt>
                <c:pt idx="70">
                  <c:v>1.2958534687121326</c:v>
                </c:pt>
                <c:pt idx="71">
                  <c:v>1.2999782548588341</c:v>
                </c:pt>
                <c:pt idx="72">
                  <c:v>1.3041022750906464</c:v>
                </c:pt>
                <c:pt idx="73">
                  <c:v>1.3082256614627878</c:v>
                </c:pt>
                <c:pt idx="74">
                  <c:v>1.3123485496565237</c:v>
                </c:pt>
                <c:pt idx="75">
                  <c:v>1.3164710791733187</c:v>
                </c:pt>
                <c:pt idx="76">
                  <c:v>1.3205933935393857</c:v>
                </c:pt>
                <c:pt idx="77">
                  <c:v>1.3247156405213483</c:v>
                </c:pt>
                <c:pt idx="78">
                  <c:v>1.328837972353859</c:v>
                </c:pt>
                <c:pt idx="79">
                  <c:v>1.3329605459800713</c:v>
                </c:pt>
                <c:pt idx="80">
                  <c:v>1.3370835233059348</c:v>
                </c:pt>
                <c:pt idx="81">
                  <c:v>1.3412070714693707</c:v>
                </c:pt>
                <c:pt idx="82">
                  <c:v>1.3453313631255299</c:v>
                </c:pt>
                <c:pt idx="83">
                  <c:v>1.3494565767493525</c:v>
                </c:pt>
                <c:pt idx="84">
                  <c:v>1.3535828969568919</c:v>
                </c:pt>
                <c:pt idx="85">
                  <c:v>1.35771051484688</c:v>
                </c:pt>
                <c:pt idx="86">
                  <c:v>1.3618396283642797</c:v>
                </c:pt>
                <c:pt idx="87">
                  <c:v>1.3659704426876282</c:v>
                </c:pt>
                <c:pt idx="88">
                  <c:v>1.3701031706422697</c:v>
                </c:pt>
                <c:pt idx="89">
                  <c:v>1.3742380331417083</c:v>
                </c:pt>
                <c:pt idx="90">
                  <c:v>1.3783752596596175</c:v>
                </c:pt>
                <c:pt idx="91">
                  <c:v>1.3825150887352546</c:v>
                </c:pt>
                <c:pt idx="92">
                  <c:v>1.3866577685153931</c:v>
                </c:pt>
                <c:pt idx="93">
                  <c:v>1.3908035573361905</c:v>
                </c:pt>
                <c:pt idx="94">
                  <c:v>1.3949527243488165</c:v>
                </c:pt>
                <c:pt idx="95">
                  <c:v>1.3991055501931324</c:v>
                </c:pt>
                <c:pt idx="96">
                  <c:v>1.4032623277241805</c:v>
                </c:pt>
                <c:pt idx="97">
                  <c:v>1.4074233627968731</c:v>
                </c:pt>
                <c:pt idx="98">
                  <c:v>1.411588975114888</c:v>
                </c:pt>
                <c:pt idx="99">
                  <c:v>1.4157594991505864</c:v>
                </c:pt>
                <c:pt idx="100">
                  <c:v>1.419935285143616</c:v>
                </c:pt>
                <c:pt idx="101">
                  <c:v>1.4241167001868922</c:v>
                </c:pt>
                <c:pt idx="102">
                  <c:v>1.4283041294098053</c:v>
                </c:pt>
                <c:pt idx="103">
                  <c:v>1.4324979772699176</c:v>
                </c:pt>
                <c:pt idx="104">
                  <c:v>1.4366986689659023</c:v>
                </c:pt>
                <c:pt idx="105">
                  <c:v>1.440906651986452</c:v>
                </c:pt>
                <c:pt idx="106">
                  <c:v>1.4451223978119332</c:v>
                </c:pt>
                <c:pt idx="107">
                  <c:v>1.449346403788218</c:v>
                </c:pt>
                <c:pt idx="108">
                  <c:v>1.4535791951950536</c:v>
                </c:pt>
                <c:pt idx="109">
                  <c:v>1.4578213275349745</c:v>
                </c:pt>
                <c:pt idx="110">
                  <c:v>1.4620733890729036</c:v>
                </c:pt>
                <c:pt idx="111">
                  <c:v>1.4663360036617745</c:v>
                </c:pt>
                <c:pt idx="112">
                  <c:v>1.4706098338954587</c:v>
                </c:pt>
                <c:pt idx="113">
                  <c:v>1.474895584637653</c:v>
                </c:pt>
                <c:pt idx="114">
                  <c:v>1.479194006984214</c:v>
                </c:pt>
                <c:pt idx="115">
                  <c:v>1.483505902727154</c:v>
                </c:pt>
                <c:pt idx="116">
                  <c:v>1.4878321294016441</c:v>
                </c:pt>
                <c:pt idx="117">
                  <c:v>1.4921736060134758</c:v>
                </c:pt>
                <c:pt idx="118">
                  <c:v>1.4965313195643735</c:v>
                </c:pt>
                <c:pt idx="119">
                  <c:v>1.5009063325172616</c:v>
                </c:pt>
                <c:pt idx="120">
                  <c:v>1.5052997913744903</c:v>
                </c:pt>
                <c:pt idx="121">
                  <c:v>1.5097129365810258</c:v>
                </c:pt>
                <c:pt idx="122">
                  <c:v>1.5141471140138481</c:v>
                </c:pt>
                <c:pt idx="123">
                  <c:v>1.5186037883818886</c:v>
                </c:pt>
                <c:pt idx="124">
                  <c:v>1.5230845589418947</c:v>
                </c:pt>
                <c:pt idx="125">
                  <c:v>1.5275911780409277</c:v>
                </c:pt>
                <c:pt idx="126">
                  <c:v>1.5321255731341883</c:v>
                </c:pt>
                <c:pt idx="127">
                  <c:v>1.5366898731094545</c:v>
                </c:pt>
                <c:pt idx="128">
                  <c:v>1.5412864399935966</c:v>
                </c:pt>
                <c:pt idx="129">
                  <c:v>1.5459179074469842</c:v>
                </c:pt>
                <c:pt idx="130">
                  <c:v>1.5505872279040966</c:v>
                </c:pt>
                <c:pt idx="131">
                  <c:v>1.5552977308468523</c:v>
                </c:pt>
                <c:pt idx="132">
                  <c:v>1.5600531955822867</c:v>
                </c:pt>
                <c:pt idx="133">
                  <c:v>1.5648579431638252</c:v>
                </c:pt>
                <c:pt idx="134">
                  <c:v>1.5697169539429978</c:v>
                </c:pt>
                <c:pt idx="135">
                  <c:v>1.5746360199856262</c:v>
                </c:pt>
                <c:pt idx="136">
                  <c:v>1.5796219457612481</c:v>
                </c:pt>
                <c:pt idx="137">
                  <c:v>1.5846828170168168</c:v>
                </c:pt>
                <c:pt idx="138">
                  <c:v>1.5898283681572019</c:v>
                </c:pt>
                <c:pt idx="139">
                  <c:v>1.5950704956587931</c:v>
                </c:pt>
                <c:pt idx="140">
                  <c:v>1.6004239945144025</c:v>
                </c:pt>
                <c:pt idx="141">
                  <c:v>1.6059076473533009</c:v>
                </c:pt>
                <c:pt idx="142">
                  <c:v>1.6115458946591248</c:v>
                </c:pt>
                <c:pt idx="143">
                  <c:v>1.6173715110423796</c:v>
                </c:pt>
                <c:pt idx="144">
                  <c:v>1.6234301324803364</c:v>
                </c:pt>
                <c:pt idx="145">
                  <c:v>1.6297884603510737</c:v>
                </c:pt>
                <c:pt idx="146">
                  <c:v>1.6365505379899989</c:v>
                </c:pt>
                <c:pt idx="147">
                  <c:v>1.6438943588833816</c:v>
                </c:pt>
                <c:pt idx="148">
                  <c:v>1.6521712238530954</c:v>
                </c:pt>
                <c:pt idx="149">
                  <c:v>1.6622788866972777</c:v>
                </c:pt>
                <c:pt idx="150">
                  <c:v>1.6789542324502407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</c:numCache>
            </c:numRef>
          </c:xVal>
          <c:yVal>
            <c:numRef>
              <c:f>List1!$AB$3:$AB$230</c:f>
              <c:numCache>
                <c:formatCode>General</c:formatCode>
                <c:ptCount val="228"/>
                <c:pt idx="0">
                  <c:v>273</c:v>
                </c:pt>
                <c:pt idx="1">
                  <c:v>274</c:v>
                </c:pt>
                <c:pt idx="2">
                  <c:v>275</c:v>
                </c:pt>
                <c:pt idx="3">
                  <c:v>276</c:v>
                </c:pt>
                <c:pt idx="4">
                  <c:v>277</c:v>
                </c:pt>
                <c:pt idx="5">
                  <c:v>278</c:v>
                </c:pt>
                <c:pt idx="6">
                  <c:v>279</c:v>
                </c:pt>
                <c:pt idx="7">
                  <c:v>280</c:v>
                </c:pt>
                <c:pt idx="8">
                  <c:v>281</c:v>
                </c:pt>
                <c:pt idx="9">
                  <c:v>282</c:v>
                </c:pt>
                <c:pt idx="10">
                  <c:v>283</c:v>
                </c:pt>
                <c:pt idx="11">
                  <c:v>284</c:v>
                </c:pt>
                <c:pt idx="12">
                  <c:v>285</c:v>
                </c:pt>
                <c:pt idx="13">
                  <c:v>286</c:v>
                </c:pt>
                <c:pt idx="14">
                  <c:v>287</c:v>
                </c:pt>
                <c:pt idx="15">
                  <c:v>288</c:v>
                </c:pt>
                <c:pt idx="16">
                  <c:v>289</c:v>
                </c:pt>
                <c:pt idx="17">
                  <c:v>290</c:v>
                </c:pt>
                <c:pt idx="18">
                  <c:v>291</c:v>
                </c:pt>
                <c:pt idx="19">
                  <c:v>292</c:v>
                </c:pt>
                <c:pt idx="20">
                  <c:v>293</c:v>
                </c:pt>
                <c:pt idx="21">
                  <c:v>294</c:v>
                </c:pt>
                <c:pt idx="22">
                  <c:v>295</c:v>
                </c:pt>
                <c:pt idx="23">
                  <c:v>296</c:v>
                </c:pt>
                <c:pt idx="24">
                  <c:v>297</c:v>
                </c:pt>
                <c:pt idx="25">
                  <c:v>298</c:v>
                </c:pt>
                <c:pt idx="26">
                  <c:v>299</c:v>
                </c:pt>
                <c:pt idx="27">
                  <c:v>300</c:v>
                </c:pt>
                <c:pt idx="28">
                  <c:v>301</c:v>
                </c:pt>
                <c:pt idx="29">
                  <c:v>302</c:v>
                </c:pt>
                <c:pt idx="30">
                  <c:v>303</c:v>
                </c:pt>
                <c:pt idx="31">
                  <c:v>304</c:v>
                </c:pt>
                <c:pt idx="32">
                  <c:v>305</c:v>
                </c:pt>
                <c:pt idx="33">
                  <c:v>306</c:v>
                </c:pt>
                <c:pt idx="34">
                  <c:v>307</c:v>
                </c:pt>
                <c:pt idx="35">
                  <c:v>308</c:v>
                </c:pt>
                <c:pt idx="36">
                  <c:v>309</c:v>
                </c:pt>
                <c:pt idx="37">
                  <c:v>310</c:v>
                </c:pt>
                <c:pt idx="38">
                  <c:v>311</c:v>
                </c:pt>
                <c:pt idx="39">
                  <c:v>312</c:v>
                </c:pt>
                <c:pt idx="40">
                  <c:v>313</c:v>
                </c:pt>
                <c:pt idx="41">
                  <c:v>314</c:v>
                </c:pt>
                <c:pt idx="42">
                  <c:v>315</c:v>
                </c:pt>
                <c:pt idx="43">
                  <c:v>316</c:v>
                </c:pt>
                <c:pt idx="44">
                  <c:v>317</c:v>
                </c:pt>
                <c:pt idx="45">
                  <c:v>318</c:v>
                </c:pt>
                <c:pt idx="46">
                  <c:v>319</c:v>
                </c:pt>
                <c:pt idx="47">
                  <c:v>320</c:v>
                </c:pt>
                <c:pt idx="48">
                  <c:v>321</c:v>
                </c:pt>
                <c:pt idx="49">
                  <c:v>322</c:v>
                </c:pt>
                <c:pt idx="50">
                  <c:v>323</c:v>
                </c:pt>
                <c:pt idx="51">
                  <c:v>324</c:v>
                </c:pt>
                <c:pt idx="52">
                  <c:v>325</c:v>
                </c:pt>
                <c:pt idx="53">
                  <c:v>326</c:v>
                </c:pt>
                <c:pt idx="54">
                  <c:v>327</c:v>
                </c:pt>
                <c:pt idx="55">
                  <c:v>328</c:v>
                </c:pt>
                <c:pt idx="56">
                  <c:v>329</c:v>
                </c:pt>
                <c:pt idx="57">
                  <c:v>330</c:v>
                </c:pt>
                <c:pt idx="58">
                  <c:v>331</c:v>
                </c:pt>
                <c:pt idx="59">
                  <c:v>332</c:v>
                </c:pt>
                <c:pt idx="60">
                  <c:v>333</c:v>
                </c:pt>
                <c:pt idx="61">
                  <c:v>334</c:v>
                </c:pt>
                <c:pt idx="62">
                  <c:v>335</c:v>
                </c:pt>
                <c:pt idx="63">
                  <c:v>336</c:v>
                </c:pt>
                <c:pt idx="64">
                  <c:v>337</c:v>
                </c:pt>
                <c:pt idx="65">
                  <c:v>338</c:v>
                </c:pt>
                <c:pt idx="66">
                  <c:v>339</c:v>
                </c:pt>
                <c:pt idx="67">
                  <c:v>340</c:v>
                </c:pt>
                <c:pt idx="68">
                  <c:v>341</c:v>
                </c:pt>
                <c:pt idx="69">
                  <c:v>342</c:v>
                </c:pt>
                <c:pt idx="70">
                  <c:v>343</c:v>
                </c:pt>
                <c:pt idx="71">
                  <c:v>344</c:v>
                </c:pt>
                <c:pt idx="72">
                  <c:v>345</c:v>
                </c:pt>
                <c:pt idx="73">
                  <c:v>346</c:v>
                </c:pt>
                <c:pt idx="74">
                  <c:v>347</c:v>
                </c:pt>
                <c:pt idx="75">
                  <c:v>348</c:v>
                </c:pt>
                <c:pt idx="76">
                  <c:v>349</c:v>
                </c:pt>
                <c:pt idx="77">
                  <c:v>350</c:v>
                </c:pt>
                <c:pt idx="78">
                  <c:v>351</c:v>
                </c:pt>
                <c:pt idx="79">
                  <c:v>352</c:v>
                </c:pt>
                <c:pt idx="80">
                  <c:v>353</c:v>
                </c:pt>
                <c:pt idx="81">
                  <c:v>354</c:v>
                </c:pt>
                <c:pt idx="82">
                  <c:v>355</c:v>
                </c:pt>
                <c:pt idx="83">
                  <c:v>356</c:v>
                </c:pt>
                <c:pt idx="84">
                  <c:v>357</c:v>
                </c:pt>
                <c:pt idx="85">
                  <c:v>358</c:v>
                </c:pt>
                <c:pt idx="86">
                  <c:v>359</c:v>
                </c:pt>
                <c:pt idx="87">
                  <c:v>360</c:v>
                </c:pt>
                <c:pt idx="88">
                  <c:v>361</c:v>
                </c:pt>
                <c:pt idx="89">
                  <c:v>362</c:v>
                </c:pt>
                <c:pt idx="90">
                  <c:v>363</c:v>
                </c:pt>
                <c:pt idx="91">
                  <c:v>364</c:v>
                </c:pt>
                <c:pt idx="92">
                  <c:v>365</c:v>
                </c:pt>
                <c:pt idx="93">
                  <c:v>366</c:v>
                </c:pt>
                <c:pt idx="94">
                  <c:v>367</c:v>
                </c:pt>
                <c:pt idx="95">
                  <c:v>368</c:v>
                </c:pt>
                <c:pt idx="96">
                  <c:v>369</c:v>
                </c:pt>
                <c:pt idx="97">
                  <c:v>370</c:v>
                </c:pt>
                <c:pt idx="98">
                  <c:v>371</c:v>
                </c:pt>
                <c:pt idx="99">
                  <c:v>372</c:v>
                </c:pt>
                <c:pt idx="100">
                  <c:v>373</c:v>
                </c:pt>
                <c:pt idx="101">
                  <c:v>374</c:v>
                </c:pt>
                <c:pt idx="102">
                  <c:v>375</c:v>
                </c:pt>
                <c:pt idx="103">
                  <c:v>376</c:v>
                </c:pt>
                <c:pt idx="104">
                  <c:v>377</c:v>
                </c:pt>
                <c:pt idx="105">
                  <c:v>378</c:v>
                </c:pt>
                <c:pt idx="106">
                  <c:v>379</c:v>
                </c:pt>
                <c:pt idx="107">
                  <c:v>380</c:v>
                </c:pt>
                <c:pt idx="108">
                  <c:v>381</c:v>
                </c:pt>
                <c:pt idx="109">
                  <c:v>382</c:v>
                </c:pt>
                <c:pt idx="110">
                  <c:v>383</c:v>
                </c:pt>
                <c:pt idx="111">
                  <c:v>384</c:v>
                </c:pt>
                <c:pt idx="112">
                  <c:v>385</c:v>
                </c:pt>
                <c:pt idx="113">
                  <c:v>386</c:v>
                </c:pt>
                <c:pt idx="114">
                  <c:v>387</c:v>
                </c:pt>
                <c:pt idx="115">
                  <c:v>388</c:v>
                </c:pt>
                <c:pt idx="116">
                  <c:v>389</c:v>
                </c:pt>
                <c:pt idx="117">
                  <c:v>390</c:v>
                </c:pt>
                <c:pt idx="118">
                  <c:v>391</c:v>
                </c:pt>
                <c:pt idx="119">
                  <c:v>392</c:v>
                </c:pt>
                <c:pt idx="120">
                  <c:v>393</c:v>
                </c:pt>
                <c:pt idx="121">
                  <c:v>394</c:v>
                </c:pt>
                <c:pt idx="122">
                  <c:v>395</c:v>
                </c:pt>
                <c:pt idx="123">
                  <c:v>396</c:v>
                </c:pt>
                <c:pt idx="124">
                  <c:v>397</c:v>
                </c:pt>
                <c:pt idx="125">
                  <c:v>398</c:v>
                </c:pt>
                <c:pt idx="126">
                  <c:v>399</c:v>
                </c:pt>
                <c:pt idx="127">
                  <c:v>400</c:v>
                </c:pt>
                <c:pt idx="128">
                  <c:v>401</c:v>
                </c:pt>
                <c:pt idx="129">
                  <c:v>402</c:v>
                </c:pt>
                <c:pt idx="130">
                  <c:v>403</c:v>
                </c:pt>
                <c:pt idx="131">
                  <c:v>404</c:v>
                </c:pt>
                <c:pt idx="132">
                  <c:v>405</c:v>
                </c:pt>
                <c:pt idx="133">
                  <c:v>406</c:v>
                </c:pt>
                <c:pt idx="134">
                  <c:v>407</c:v>
                </c:pt>
                <c:pt idx="135">
                  <c:v>408</c:v>
                </c:pt>
                <c:pt idx="136">
                  <c:v>409</c:v>
                </c:pt>
                <c:pt idx="137">
                  <c:v>410</c:v>
                </c:pt>
                <c:pt idx="138">
                  <c:v>411</c:v>
                </c:pt>
                <c:pt idx="139">
                  <c:v>412</c:v>
                </c:pt>
                <c:pt idx="140">
                  <c:v>413</c:v>
                </c:pt>
                <c:pt idx="141">
                  <c:v>414</c:v>
                </c:pt>
                <c:pt idx="142">
                  <c:v>415</c:v>
                </c:pt>
                <c:pt idx="143">
                  <c:v>416</c:v>
                </c:pt>
                <c:pt idx="144">
                  <c:v>417</c:v>
                </c:pt>
                <c:pt idx="145">
                  <c:v>418</c:v>
                </c:pt>
                <c:pt idx="146">
                  <c:v>419</c:v>
                </c:pt>
                <c:pt idx="147">
                  <c:v>420</c:v>
                </c:pt>
                <c:pt idx="148">
                  <c:v>421</c:v>
                </c:pt>
                <c:pt idx="149">
                  <c:v>422</c:v>
                </c:pt>
                <c:pt idx="150">
                  <c:v>423</c:v>
                </c:pt>
                <c:pt idx="151">
                  <c:v>424</c:v>
                </c:pt>
                <c:pt idx="152">
                  <c:v>425</c:v>
                </c:pt>
                <c:pt idx="153">
                  <c:v>426</c:v>
                </c:pt>
                <c:pt idx="154">
                  <c:v>427</c:v>
                </c:pt>
                <c:pt idx="155">
                  <c:v>428</c:v>
                </c:pt>
                <c:pt idx="156">
                  <c:v>429</c:v>
                </c:pt>
                <c:pt idx="157">
                  <c:v>430</c:v>
                </c:pt>
                <c:pt idx="158">
                  <c:v>431</c:v>
                </c:pt>
                <c:pt idx="159">
                  <c:v>432</c:v>
                </c:pt>
                <c:pt idx="160">
                  <c:v>433</c:v>
                </c:pt>
                <c:pt idx="161">
                  <c:v>434</c:v>
                </c:pt>
                <c:pt idx="162">
                  <c:v>435</c:v>
                </c:pt>
                <c:pt idx="163">
                  <c:v>436</c:v>
                </c:pt>
                <c:pt idx="164">
                  <c:v>437</c:v>
                </c:pt>
                <c:pt idx="165">
                  <c:v>438</c:v>
                </c:pt>
                <c:pt idx="166">
                  <c:v>439</c:v>
                </c:pt>
                <c:pt idx="167">
                  <c:v>440</c:v>
                </c:pt>
                <c:pt idx="168">
                  <c:v>441</c:v>
                </c:pt>
                <c:pt idx="169">
                  <c:v>442</c:v>
                </c:pt>
                <c:pt idx="170">
                  <c:v>443</c:v>
                </c:pt>
                <c:pt idx="171">
                  <c:v>444</c:v>
                </c:pt>
                <c:pt idx="172">
                  <c:v>445</c:v>
                </c:pt>
                <c:pt idx="173">
                  <c:v>446</c:v>
                </c:pt>
                <c:pt idx="174">
                  <c:v>447</c:v>
                </c:pt>
                <c:pt idx="175">
                  <c:v>448</c:v>
                </c:pt>
                <c:pt idx="176">
                  <c:v>449</c:v>
                </c:pt>
                <c:pt idx="177">
                  <c:v>450</c:v>
                </c:pt>
                <c:pt idx="178">
                  <c:v>451</c:v>
                </c:pt>
                <c:pt idx="179">
                  <c:v>452</c:v>
                </c:pt>
                <c:pt idx="180">
                  <c:v>453</c:v>
                </c:pt>
                <c:pt idx="181">
                  <c:v>454</c:v>
                </c:pt>
                <c:pt idx="182">
                  <c:v>455</c:v>
                </c:pt>
                <c:pt idx="183">
                  <c:v>456</c:v>
                </c:pt>
                <c:pt idx="184">
                  <c:v>457</c:v>
                </c:pt>
                <c:pt idx="185">
                  <c:v>458</c:v>
                </c:pt>
                <c:pt idx="186">
                  <c:v>459</c:v>
                </c:pt>
                <c:pt idx="187">
                  <c:v>460</c:v>
                </c:pt>
                <c:pt idx="188">
                  <c:v>461</c:v>
                </c:pt>
                <c:pt idx="189">
                  <c:v>462</c:v>
                </c:pt>
                <c:pt idx="190">
                  <c:v>463</c:v>
                </c:pt>
                <c:pt idx="191">
                  <c:v>464</c:v>
                </c:pt>
                <c:pt idx="192">
                  <c:v>465</c:v>
                </c:pt>
                <c:pt idx="193">
                  <c:v>466</c:v>
                </c:pt>
                <c:pt idx="194">
                  <c:v>467</c:v>
                </c:pt>
                <c:pt idx="195">
                  <c:v>468</c:v>
                </c:pt>
                <c:pt idx="196">
                  <c:v>469</c:v>
                </c:pt>
                <c:pt idx="197">
                  <c:v>470</c:v>
                </c:pt>
                <c:pt idx="198">
                  <c:v>471</c:v>
                </c:pt>
                <c:pt idx="199">
                  <c:v>472</c:v>
                </c:pt>
                <c:pt idx="200">
                  <c:v>473</c:v>
                </c:pt>
                <c:pt idx="201">
                  <c:v>474</c:v>
                </c:pt>
                <c:pt idx="202">
                  <c:v>475</c:v>
                </c:pt>
                <c:pt idx="203">
                  <c:v>476</c:v>
                </c:pt>
                <c:pt idx="204">
                  <c:v>477</c:v>
                </c:pt>
                <c:pt idx="205">
                  <c:v>478</c:v>
                </c:pt>
                <c:pt idx="206">
                  <c:v>479</c:v>
                </c:pt>
                <c:pt idx="207">
                  <c:v>480</c:v>
                </c:pt>
                <c:pt idx="208">
                  <c:v>481</c:v>
                </c:pt>
                <c:pt idx="209">
                  <c:v>482</c:v>
                </c:pt>
                <c:pt idx="210">
                  <c:v>483</c:v>
                </c:pt>
                <c:pt idx="211">
                  <c:v>484</c:v>
                </c:pt>
                <c:pt idx="212">
                  <c:v>485</c:v>
                </c:pt>
                <c:pt idx="213">
                  <c:v>486</c:v>
                </c:pt>
                <c:pt idx="214">
                  <c:v>487</c:v>
                </c:pt>
                <c:pt idx="215">
                  <c:v>488</c:v>
                </c:pt>
                <c:pt idx="216">
                  <c:v>489</c:v>
                </c:pt>
                <c:pt idx="217">
                  <c:v>490</c:v>
                </c:pt>
                <c:pt idx="218">
                  <c:v>491</c:v>
                </c:pt>
                <c:pt idx="219">
                  <c:v>492</c:v>
                </c:pt>
                <c:pt idx="220">
                  <c:v>493</c:v>
                </c:pt>
                <c:pt idx="221">
                  <c:v>494</c:v>
                </c:pt>
                <c:pt idx="222">
                  <c:v>495</c:v>
                </c:pt>
                <c:pt idx="223">
                  <c:v>496</c:v>
                </c:pt>
                <c:pt idx="224">
                  <c:v>497</c:v>
                </c:pt>
                <c:pt idx="225">
                  <c:v>498</c:v>
                </c:pt>
                <c:pt idx="226">
                  <c:v>499</c:v>
                </c:pt>
                <c:pt idx="227">
                  <c:v>500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6E5E-4FEE-A151-3081192B650F}"/>
            </c:ext>
          </c:extLst>
        </c:ser>
        <c:ser>
          <c:idx val="2"/>
          <c:order val="4"/>
          <c:tx>
            <c:strRef>
              <c:f>List1!$Y$2</c:f>
              <c:strCache>
                <c:ptCount val="1"/>
                <c:pt idx="0">
                  <c:v>T</c:v>
                </c:pt>
              </c:strCache>
            </c:strRef>
          </c:tx>
          <c:marker>
            <c:symbol val="none"/>
          </c:marker>
          <c:xVal>
            <c:numRef>
              <c:f>List1!$X$3:$X$230</c:f>
              <c:numCache>
                <c:formatCode>General</c:formatCode>
                <c:ptCount val="228"/>
                <c:pt idx="0">
                  <c:v>1.7454097047617863</c:v>
                </c:pt>
                <c:pt idx="1">
                  <c:v>1.7452439723278919</c:v>
                </c:pt>
                <c:pt idx="2">
                  <c:v>1.7450954296239909</c:v>
                </c:pt>
                <c:pt idx="3">
                  <c:v>1.7449637387150259</c:v>
                </c:pt>
                <c:pt idx="4">
                  <c:v>1.7448485673378957</c:v>
                </c:pt>
                <c:pt idx="5">
                  <c:v>1.744749588791072</c:v>
                </c:pt>
                <c:pt idx="6">
                  <c:v>1.7446664818249453</c:v>
                </c:pt>
                <c:pt idx="7">
                  <c:v>1.7445989305328053</c:v>
                </c:pt>
                <c:pt idx="8">
                  <c:v>1.7445466242425101</c:v>
                </c:pt>
                <c:pt idx="9">
                  <c:v>1.7445092574087853</c:v>
                </c:pt>
                <c:pt idx="10">
                  <c:v>1.7444865295061738</c:v>
                </c:pt>
                <c:pt idx="11">
                  <c:v>1.7444781449225826</c:v>
                </c:pt>
                <c:pt idx="12">
                  <c:v>1.7444838128534825</c:v>
                </c:pt>
                <c:pt idx="13">
                  <c:v>1.7445032471966819</c:v>
                </c:pt>
                <c:pt idx="14">
                  <c:v>1.744536166447715</c:v>
                </c:pt>
                <c:pt idx="15">
                  <c:v>1.7445822935958104</c:v>
                </c:pt>
                <c:pt idx="16">
                  <c:v>1.7446413560204608</c:v>
                </c:pt>
                <c:pt idx="17">
                  <c:v>1.7447130853885426</c:v>
                </c:pt>
                <c:pt idx="18">
                  <c:v>1.7447972175520319</c:v>
                </c:pt>
                <c:pt idx="19">
                  <c:v>1.7448934924462645</c:v>
                </c:pt>
                <c:pt idx="20">
                  <c:v>1.7450016539887465</c:v>
                </c:pt>
                <c:pt idx="21">
                  <c:v>1.745121449978533</c:v>
                </c:pt>
                <c:pt idx="22">
                  <c:v>1.7452526319961212</c:v>
                </c:pt>
                <c:pt idx="23">
                  <c:v>1.7453949553038903</c:v>
                </c:pt>
                <c:pt idx="24">
                  <c:v>1.745548178747051</c:v>
                </c:pt>
                <c:pt idx="25">
                  <c:v>1.7457120646551012</c:v>
                </c:pt>
                <c:pt idx="26">
                  <c:v>1.7458863787437831</c:v>
                </c:pt>
                <c:pt idx="27">
                  <c:v>1.7460708900175383</c:v>
                </c:pt>
                <c:pt idx="28">
                  <c:v>1.7462653706723925</c:v>
                </c:pt>
                <c:pt idx="29">
                  <c:v>1.7464695959993441</c:v>
                </c:pt>
                <c:pt idx="30">
                  <c:v>1.7466833442881553</c:v>
                </c:pt>
                <c:pt idx="31">
                  <c:v>1.7469063967315774</c:v>
                </c:pt>
                <c:pt idx="32">
                  <c:v>1.7471385373299742</c:v>
                </c:pt>
                <c:pt idx="33">
                  <c:v>1.7473795527963227</c:v>
                </c:pt>
                <c:pt idx="34">
                  <c:v>1.7476292324615619</c:v>
                </c:pt>
                <c:pt idx="35">
                  <c:v>1.7478873681802882</c:v>
                </c:pt>
                <c:pt idx="36">
                  <c:v>1.7481537542367256</c:v>
                </c:pt>
                <c:pt idx="37">
                  <c:v>1.7484281872509952</c:v>
                </c:pt>
                <c:pt idx="38">
                  <c:v>1.7487104660856125</c:v>
                </c:pt>
                <c:pt idx="39">
                  <c:v>1.7490003917521753</c:v>
                </c:pt>
                <c:pt idx="40">
                  <c:v>1.749297767318257</c:v>
                </c:pt>
                <c:pt idx="41">
                  <c:v>1.7496023978143871</c:v>
                </c:pt>
                <c:pt idx="42">
                  <c:v>1.7499140901411592</c:v>
                </c:pt>
                <c:pt idx="43">
                  <c:v>1.7502326529763415</c:v>
                </c:pt>
                <c:pt idx="44">
                  <c:v>1.7505578966820232</c:v>
                </c:pt>
                <c:pt idx="45">
                  <c:v>1.7508896332116617</c:v>
                </c:pt>
                <c:pt idx="46">
                  <c:v>1.751227676017058</c:v>
                </c:pt>
                <c:pt idx="47">
                  <c:v>1.7515718399551308</c:v>
                </c:pt>
                <c:pt idx="48">
                  <c:v>1.7519219411944811</c:v>
                </c:pt>
                <c:pt idx="49">
                  <c:v>1.7522777971216472</c:v>
                </c:pt>
                <c:pt idx="50">
                  <c:v>1.7526392262470065</c:v>
                </c:pt>
                <c:pt idx="51">
                  <c:v>1.7530060481102161</c:v>
                </c:pt>
                <c:pt idx="52">
                  <c:v>1.7533780831851655</c:v>
                </c:pt>
                <c:pt idx="53">
                  <c:v>1.7537551527843021</c:v>
                </c:pt>
                <c:pt idx="54">
                  <c:v>1.7541370789622843</c:v>
                </c:pt>
                <c:pt idx="55">
                  <c:v>1.7545236844188457</c:v>
                </c:pt>
                <c:pt idx="56">
                  <c:v>1.7549147924007877</c:v>
                </c:pt>
                <c:pt idx="57">
                  <c:v>1.7553102266029692</c:v>
                </c:pt>
                <c:pt idx="58">
                  <c:v>1.7557098110682272</c:v>
                </c:pt>
                <c:pt idx="59">
                  <c:v>1.7561133700860598</c:v>
                </c:pt>
                <c:pt idx="60">
                  <c:v>1.7565207280899944</c:v>
                </c:pt>
                <c:pt idx="61">
                  <c:v>1.75693170955347</c:v>
                </c:pt>
                <c:pt idx="62">
                  <c:v>1.7573461388841234</c:v>
                </c:pt>
                <c:pt idx="63">
                  <c:v>1.7577638403163134</c:v>
                </c:pt>
                <c:pt idx="64">
                  <c:v>1.7581846378017356</c:v>
                </c:pt>
                <c:pt idx="65">
                  <c:v>1.7586083548979556</c:v>
                </c:pt>
                <c:pt idx="66">
                  <c:v>1.7590348146546844</c:v>
                </c:pt>
                <c:pt idx="67">
                  <c:v>1.7594638394976234</c:v>
                </c:pt>
                <c:pt idx="68">
                  <c:v>1.7598952511096366</c:v>
                </c:pt>
                <c:pt idx="69">
                  <c:v>1.7603288703090998</c:v>
                </c:pt>
                <c:pt idx="70">
                  <c:v>1.7607645169251565</c:v>
                </c:pt>
                <c:pt idx="71">
                  <c:v>1.7612020096696366</c:v>
                </c:pt>
                <c:pt idx="72">
                  <c:v>1.7616411660054216</c:v>
                </c:pt>
                <c:pt idx="73">
                  <c:v>1.7620818020109525</c:v>
                </c:pt>
                <c:pt idx="74">
                  <c:v>1.7625237322405878</c:v>
                </c:pt>
                <c:pt idx="75">
                  <c:v>1.7629667695805267</c:v>
                </c:pt>
                <c:pt idx="76">
                  <c:v>1.7634107250999391</c:v>
                </c:pt>
                <c:pt idx="77">
                  <c:v>1.7638554078969617</c:v>
                </c:pt>
                <c:pt idx="78">
                  <c:v>1.7643006249391882</c:v>
                </c:pt>
                <c:pt idx="79">
                  <c:v>1.7647461808982305</c:v>
                </c:pt>
                <c:pt idx="80">
                  <c:v>1.765191877977935</c:v>
                </c:pt>
                <c:pt idx="81">
                  <c:v>1.7656375157357678</c:v>
                </c:pt>
                <c:pt idx="82">
                  <c:v>1.7660828908968944</c:v>
                </c:pt>
                <c:pt idx="83">
                  <c:v>1.7665277971603934</c:v>
                </c:pt>
                <c:pt idx="84">
                  <c:v>1.7669720249970484</c:v>
                </c:pt>
                <c:pt idx="85">
                  <c:v>1.7674153614380719</c:v>
                </c:pt>
                <c:pt idx="86">
                  <c:v>1.7678575898541224</c:v>
                </c:pt>
                <c:pt idx="87">
                  <c:v>1.7682984897238663</c:v>
                </c:pt>
                <c:pt idx="88">
                  <c:v>1.7687378363913209</c:v>
                </c:pt>
                <c:pt idx="89">
                  <c:v>1.7691754008111384</c:v>
                </c:pt>
                <c:pt idx="90">
                  <c:v>1.7696109492809071</c:v>
                </c:pt>
                <c:pt idx="91">
                  <c:v>1.7700442431595043</c:v>
                </c:pt>
                <c:pt idx="92">
                  <c:v>1.7704750385704127</c:v>
                </c:pt>
                <c:pt idx="93">
                  <c:v>1.7709030860888619</c:v>
                </c:pt>
                <c:pt idx="94">
                  <c:v>1.771328130411514</c:v>
                </c:pt>
                <c:pt idx="95">
                  <c:v>1.7717499100073502</c:v>
                </c:pt>
                <c:pt idx="96">
                  <c:v>1.7721681567482219</c:v>
                </c:pt>
                <c:pt idx="97">
                  <c:v>1.7725825955175092</c:v>
                </c:pt>
                <c:pt idx="98">
                  <c:v>1.7729929437950387</c:v>
                </c:pt>
                <c:pt idx="99">
                  <c:v>1.77339891121636</c:v>
                </c:pt>
                <c:pt idx="100">
                  <c:v>1.7738001991042498</c:v>
                </c:pt>
                <c:pt idx="101">
                  <c:v>1.7741964999701019</c:v>
                </c:pt>
                <c:pt idx="102">
                  <c:v>1.7745874969826536</c:v>
                </c:pt>
                <c:pt idx="103">
                  <c:v>1.7749728634012232</c:v>
                </c:pt>
                <c:pt idx="104">
                  <c:v>1.7753522619703912</c:v>
                </c:pt>
                <c:pt idx="105">
                  <c:v>1.7757253442726557</c:v>
                </c:pt>
                <c:pt idx="106">
                  <c:v>1.7760917500353401</c:v>
                </c:pt>
                <c:pt idx="107">
                  <c:v>1.7764511063875457</c:v>
                </c:pt>
                <c:pt idx="108">
                  <c:v>1.7768030270625292</c:v>
                </c:pt>
                <c:pt idx="109">
                  <c:v>1.7771471115403554</c:v>
                </c:pt>
                <c:pt idx="110">
                  <c:v>1.7774829441251319</c:v>
                </c:pt>
                <c:pt idx="111">
                  <c:v>1.7778100929504144</c:v>
                </c:pt>
                <c:pt idx="112">
                  <c:v>1.7781281089057066</c:v>
                </c:pt>
                <c:pt idx="113">
                  <c:v>1.7784365244760545</c:v>
                </c:pt>
                <c:pt idx="114">
                  <c:v>1.7787348524858244</c:v>
                </c:pt>
                <c:pt idx="115">
                  <c:v>1.7790225847366297</c:v>
                </c:pt>
                <c:pt idx="116">
                  <c:v>1.7792991905281048</c:v>
                </c:pt>
                <c:pt idx="117">
                  <c:v>1.779564115048728</c:v>
                </c:pt>
                <c:pt idx="118">
                  <c:v>1.779816777622315</c:v>
                </c:pt>
                <c:pt idx="119">
                  <c:v>1.7800565697937323</c:v>
                </c:pt>
                <c:pt idx="120">
                  <c:v>1.7802828532352128</c:v>
                </c:pt>
                <c:pt idx="121">
                  <c:v>1.7804949574520157</c:v>
                </c:pt>
                <c:pt idx="122">
                  <c:v>1.7806921772630595</c:v>
                </c:pt>
                <c:pt idx="123">
                  <c:v>1.7808737700286199</c:v>
                </c:pt>
                <c:pt idx="124">
                  <c:v>1.7810389525929595</c:v>
                </c:pt>
                <c:pt idx="125">
                  <c:v>1.7811868979047438</c:v>
                </c:pt>
                <c:pt idx="126">
                  <c:v>1.7813167312721887</c:v>
                </c:pt>
                <c:pt idx="127">
                  <c:v>1.7814275262029899</c:v>
                </c:pt>
                <c:pt idx="128">
                  <c:v>1.7815182997705039</c:v>
                </c:pt>
                <c:pt idx="129">
                  <c:v>1.7815880074377937</c:v>
                </c:pt>
                <c:pt idx="130">
                  <c:v>1.7816355372589621</c:v>
                </c:pt>
                <c:pt idx="131">
                  <c:v>1.781659703362541</c:v>
                </c:pt>
                <c:pt idx="132">
                  <c:v>1.7816592386038583</c:v>
                </c:pt>
                <c:pt idx="133">
                  <c:v>1.7816327862515684</c:v>
                </c:pt>
                <c:pt idx="134">
                  <c:v>1.7815788905465797</c:v>
                </c:pt>
                <c:pt idx="135">
                  <c:v>1.781495985938494</c:v>
                </c:pt>
                <c:pt idx="136">
                  <c:v>1.7813823847632333</c:v>
                </c:pt>
                <c:pt idx="137">
                  <c:v>1.7812362630737861</c:v>
                </c:pt>
                <c:pt idx="138">
                  <c:v>1.7810556442704455</c:v>
                </c:pt>
                <c:pt idx="139">
                  <c:v>1.7808383800938807</c:v>
                </c:pt>
                <c:pt idx="140">
                  <c:v>1.7805821284375538</c:v>
                </c:pt>
                <c:pt idx="141">
                  <c:v>1.7802843272984028</c:v>
                </c:pt>
                <c:pt idx="142">
                  <c:v>1.7799421640048965</c:v>
                </c:pt>
                <c:pt idx="143">
                  <c:v>1.7795525386250637</c:v>
                </c:pt>
                <c:pt idx="144">
                  <c:v>1.7791120201425861</c:v>
                </c:pt>
                <c:pt idx="145">
                  <c:v>1.7786167935658663</c:v>
                </c:pt>
                <c:pt idx="146">
                  <c:v>1.7780625955592357</c:v>
                </c:pt>
                <c:pt idx="147">
                  <c:v>1.7774446353918021</c:v>
                </c:pt>
                <c:pt idx="148">
                  <c:v>1.776757496889402</c:v>
                </c:pt>
                <c:pt idx="149">
                  <c:v>1.775995015499457</c:v>
                </c:pt>
                <c:pt idx="150">
                  <c:v>1.7751501223031105</c:v>
                </c:pt>
                <c:pt idx="151">
                  <c:v>1.7742146434618915</c:v>
                </c:pt>
                <c:pt idx="152">
                  <c:v>1.773179038559739</c:v>
                </c:pt>
                <c:pt idx="153">
                  <c:v>1.7720320535783629</c:v>
                </c:pt>
                <c:pt idx="154">
                  <c:v>1.7707602520665813</c:v>
                </c:pt>
                <c:pt idx="155">
                  <c:v>1.7693473682966543</c:v>
                </c:pt>
                <c:pt idx="156">
                  <c:v>1.7677733930231911</c:v>
                </c:pt>
                <c:pt idx="157">
                  <c:v>1.7660132445969654</c:v>
                </c:pt>
                <c:pt idx="158">
                  <c:v>1.7640347726465597</c:v>
                </c:pt>
                <c:pt idx="159">
                  <c:v>1.7617956385578011</c:v>
                </c:pt>
                <c:pt idx="160">
                  <c:v>1.7592382008346104</c:v>
                </c:pt>
                <c:pt idx="161">
                  <c:v>1.7562806104196662</c:v>
                </c:pt>
                <c:pt idx="162">
                  <c:v>1.7528000589997077</c:v>
                </c:pt>
                <c:pt idx="163">
                  <c:v>1.7485977986326353</c:v>
                </c:pt>
                <c:pt idx="164">
                  <c:v>1.7433142745833841</c:v>
                </c:pt>
                <c:pt idx="165">
                  <c:v>1.7361672413554856</c:v>
                </c:pt>
                <c:pt idx="166">
                  <c:v>1.7246268756233929</c:v>
                </c:pt>
              </c:numCache>
            </c:numRef>
          </c:xVal>
          <c:yVal>
            <c:numRef>
              <c:f>List1!$Y$3:$Y$230</c:f>
              <c:numCache>
                <c:formatCode>General</c:formatCode>
                <c:ptCount val="228"/>
                <c:pt idx="0">
                  <c:v>273</c:v>
                </c:pt>
                <c:pt idx="1">
                  <c:v>274</c:v>
                </c:pt>
                <c:pt idx="2">
                  <c:v>275</c:v>
                </c:pt>
                <c:pt idx="3">
                  <c:v>276</c:v>
                </c:pt>
                <c:pt idx="4">
                  <c:v>277</c:v>
                </c:pt>
                <c:pt idx="5">
                  <c:v>278</c:v>
                </c:pt>
                <c:pt idx="6">
                  <c:v>279</c:v>
                </c:pt>
                <c:pt idx="7">
                  <c:v>280</c:v>
                </c:pt>
                <c:pt idx="8">
                  <c:v>281</c:v>
                </c:pt>
                <c:pt idx="9">
                  <c:v>282</c:v>
                </c:pt>
                <c:pt idx="10">
                  <c:v>283</c:v>
                </c:pt>
                <c:pt idx="11">
                  <c:v>284</c:v>
                </c:pt>
                <c:pt idx="12">
                  <c:v>285</c:v>
                </c:pt>
                <c:pt idx="13">
                  <c:v>286</c:v>
                </c:pt>
                <c:pt idx="14">
                  <c:v>287</c:v>
                </c:pt>
                <c:pt idx="15">
                  <c:v>288</c:v>
                </c:pt>
                <c:pt idx="16">
                  <c:v>289</c:v>
                </c:pt>
                <c:pt idx="17">
                  <c:v>290</c:v>
                </c:pt>
                <c:pt idx="18">
                  <c:v>291</c:v>
                </c:pt>
                <c:pt idx="19">
                  <c:v>292</c:v>
                </c:pt>
                <c:pt idx="20">
                  <c:v>293</c:v>
                </c:pt>
                <c:pt idx="21">
                  <c:v>294</c:v>
                </c:pt>
                <c:pt idx="22">
                  <c:v>295</c:v>
                </c:pt>
                <c:pt idx="23">
                  <c:v>296</c:v>
                </c:pt>
                <c:pt idx="24">
                  <c:v>297</c:v>
                </c:pt>
                <c:pt idx="25">
                  <c:v>298</c:v>
                </c:pt>
                <c:pt idx="26">
                  <c:v>299</c:v>
                </c:pt>
                <c:pt idx="27">
                  <c:v>300</c:v>
                </c:pt>
                <c:pt idx="28">
                  <c:v>301</c:v>
                </c:pt>
                <c:pt idx="29">
                  <c:v>302</c:v>
                </c:pt>
                <c:pt idx="30">
                  <c:v>303</c:v>
                </c:pt>
                <c:pt idx="31">
                  <c:v>304</c:v>
                </c:pt>
                <c:pt idx="32">
                  <c:v>305</c:v>
                </c:pt>
                <c:pt idx="33">
                  <c:v>306</c:v>
                </c:pt>
                <c:pt idx="34">
                  <c:v>307</c:v>
                </c:pt>
                <c:pt idx="35">
                  <c:v>308</c:v>
                </c:pt>
                <c:pt idx="36">
                  <c:v>309</c:v>
                </c:pt>
                <c:pt idx="37">
                  <c:v>310</c:v>
                </c:pt>
                <c:pt idx="38">
                  <c:v>311</c:v>
                </c:pt>
                <c:pt idx="39">
                  <c:v>312</c:v>
                </c:pt>
                <c:pt idx="40">
                  <c:v>313</c:v>
                </c:pt>
                <c:pt idx="41">
                  <c:v>314</c:v>
                </c:pt>
                <c:pt idx="42">
                  <c:v>315</c:v>
                </c:pt>
                <c:pt idx="43">
                  <c:v>316</c:v>
                </c:pt>
                <c:pt idx="44">
                  <c:v>317</c:v>
                </c:pt>
                <c:pt idx="45">
                  <c:v>318</c:v>
                </c:pt>
                <c:pt idx="46">
                  <c:v>319</c:v>
                </c:pt>
                <c:pt idx="47">
                  <c:v>320</c:v>
                </c:pt>
                <c:pt idx="48">
                  <c:v>321</c:v>
                </c:pt>
                <c:pt idx="49">
                  <c:v>322</c:v>
                </c:pt>
                <c:pt idx="50">
                  <c:v>323</c:v>
                </c:pt>
                <c:pt idx="51">
                  <c:v>324</c:v>
                </c:pt>
                <c:pt idx="52">
                  <c:v>325</c:v>
                </c:pt>
                <c:pt idx="53">
                  <c:v>326</c:v>
                </c:pt>
                <c:pt idx="54">
                  <c:v>327</c:v>
                </c:pt>
                <c:pt idx="55">
                  <c:v>328</c:v>
                </c:pt>
                <c:pt idx="56">
                  <c:v>329</c:v>
                </c:pt>
                <c:pt idx="57">
                  <c:v>330</c:v>
                </c:pt>
                <c:pt idx="58">
                  <c:v>331</c:v>
                </c:pt>
                <c:pt idx="59">
                  <c:v>332</c:v>
                </c:pt>
                <c:pt idx="60">
                  <c:v>333</c:v>
                </c:pt>
                <c:pt idx="61">
                  <c:v>334</c:v>
                </c:pt>
                <c:pt idx="62">
                  <c:v>335</c:v>
                </c:pt>
                <c:pt idx="63">
                  <c:v>336</c:v>
                </c:pt>
                <c:pt idx="64">
                  <c:v>337</c:v>
                </c:pt>
                <c:pt idx="65">
                  <c:v>338</c:v>
                </c:pt>
                <c:pt idx="66">
                  <c:v>339</c:v>
                </c:pt>
                <c:pt idx="67">
                  <c:v>340</c:v>
                </c:pt>
                <c:pt idx="68">
                  <c:v>341</c:v>
                </c:pt>
                <c:pt idx="69">
                  <c:v>342</c:v>
                </c:pt>
                <c:pt idx="70">
                  <c:v>343</c:v>
                </c:pt>
                <c:pt idx="71">
                  <c:v>344</c:v>
                </c:pt>
                <c:pt idx="72">
                  <c:v>345</c:v>
                </c:pt>
                <c:pt idx="73">
                  <c:v>346</c:v>
                </c:pt>
                <c:pt idx="74">
                  <c:v>347</c:v>
                </c:pt>
                <c:pt idx="75">
                  <c:v>348</c:v>
                </c:pt>
                <c:pt idx="76">
                  <c:v>349</c:v>
                </c:pt>
                <c:pt idx="77">
                  <c:v>350</c:v>
                </c:pt>
                <c:pt idx="78">
                  <c:v>351</c:v>
                </c:pt>
                <c:pt idx="79">
                  <c:v>352</c:v>
                </c:pt>
                <c:pt idx="80">
                  <c:v>353</c:v>
                </c:pt>
                <c:pt idx="81">
                  <c:v>354</c:v>
                </c:pt>
                <c:pt idx="82">
                  <c:v>355</c:v>
                </c:pt>
                <c:pt idx="83">
                  <c:v>356</c:v>
                </c:pt>
                <c:pt idx="84">
                  <c:v>357</c:v>
                </c:pt>
                <c:pt idx="85">
                  <c:v>358</c:v>
                </c:pt>
                <c:pt idx="86">
                  <c:v>359</c:v>
                </c:pt>
                <c:pt idx="87">
                  <c:v>360</c:v>
                </c:pt>
                <c:pt idx="88">
                  <c:v>361</c:v>
                </c:pt>
                <c:pt idx="89">
                  <c:v>362</c:v>
                </c:pt>
                <c:pt idx="90">
                  <c:v>363</c:v>
                </c:pt>
                <c:pt idx="91">
                  <c:v>364</c:v>
                </c:pt>
                <c:pt idx="92">
                  <c:v>365</c:v>
                </c:pt>
                <c:pt idx="93">
                  <c:v>366</c:v>
                </c:pt>
                <c:pt idx="94">
                  <c:v>367</c:v>
                </c:pt>
                <c:pt idx="95">
                  <c:v>368</c:v>
                </c:pt>
                <c:pt idx="96">
                  <c:v>369</c:v>
                </c:pt>
                <c:pt idx="97">
                  <c:v>370</c:v>
                </c:pt>
                <c:pt idx="98">
                  <c:v>371</c:v>
                </c:pt>
                <c:pt idx="99">
                  <c:v>372</c:v>
                </c:pt>
                <c:pt idx="100">
                  <c:v>373</c:v>
                </c:pt>
                <c:pt idx="101">
                  <c:v>374</c:v>
                </c:pt>
                <c:pt idx="102">
                  <c:v>375</c:v>
                </c:pt>
                <c:pt idx="103">
                  <c:v>376</c:v>
                </c:pt>
                <c:pt idx="104">
                  <c:v>377</c:v>
                </c:pt>
                <c:pt idx="105">
                  <c:v>378</c:v>
                </c:pt>
                <c:pt idx="106">
                  <c:v>379</c:v>
                </c:pt>
                <c:pt idx="107">
                  <c:v>380</c:v>
                </c:pt>
                <c:pt idx="108">
                  <c:v>381</c:v>
                </c:pt>
                <c:pt idx="109">
                  <c:v>382</c:v>
                </c:pt>
                <c:pt idx="110">
                  <c:v>383</c:v>
                </c:pt>
                <c:pt idx="111">
                  <c:v>384</c:v>
                </c:pt>
                <c:pt idx="112">
                  <c:v>385</c:v>
                </c:pt>
                <c:pt idx="113">
                  <c:v>386</c:v>
                </c:pt>
                <c:pt idx="114">
                  <c:v>387</c:v>
                </c:pt>
                <c:pt idx="115">
                  <c:v>388</c:v>
                </c:pt>
                <c:pt idx="116">
                  <c:v>389</c:v>
                </c:pt>
                <c:pt idx="117">
                  <c:v>390</c:v>
                </c:pt>
                <c:pt idx="118">
                  <c:v>391</c:v>
                </c:pt>
                <c:pt idx="119">
                  <c:v>392</c:v>
                </c:pt>
                <c:pt idx="120">
                  <c:v>393</c:v>
                </c:pt>
                <c:pt idx="121">
                  <c:v>394</c:v>
                </c:pt>
                <c:pt idx="122">
                  <c:v>395</c:v>
                </c:pt>
                <c:pt idx="123">
                  <c:v>396</c:v>
                </c:pt>
                <c:pt idx="124">
                  <c:v>397</c:v>
                </c:pt>
                <c:pt idx="125">
                  <c:v>398</c:v>
                </c:pt>
                <c:pt idx="126">
                  <c:v>399</c:v>
                </c:pt>
                <c:pt idx="127">
                  <c:v>400</c:v>
                </c:pt>
                <c:pt idx="128">
                  <c:v>401</c:v>
                </c:pt>
                <c:pt idx="129">
                  <c:v>402</c:v>
                </c:pt>
                <c:pt idx="130">
                  <c:v>403</c:v>
                </c:pt>
                <c:pt idx="131">
                  <c:v>404</c:v>
                </c:pt>
                <c:pt idx="132">
                  <c:v>405</c:v>
                </c:pt>
                <c:pt idx="133">
                  <c:v>406</c:v>
                </c:pt>
                <c:pt idx="134">
                  <c:v>407</c:v>
                </c:pt>
                <c:pt idx="135">
                  <c:v>408</c:v>
                </c:pt>
                <c:pt idx="136">
                  <c:v>409</c:v>
                </c:pt>
                <c:pt idx="137">
                  <c:v>410</c:v>
                </c:pt>
                <c:pt idx="138">
                  <c:v>411</c:v>
                </c:pt>
                <c:pt idx="139">
                  <c:v>412</c:v>
                </c:pt>
                <c:pt idx="140">
                  <c:v>413</c:v>
                </c:pt>
                <c:pt idx="141">
                  <c:v>414</c:v>
                </c:pt>
                <c:pt idx="142">
                  <c:v>415</c:v>
                </c:pt>
                <c:pt idx="143">
                  <c:v>416</c:v>
                </c:pt>
                <c:pt idx="144">
                  <c:v>417</c:v>
                </c:pt>
                <c:pt idx="145">
                  <c:v>418</c:v>
                </c:pt>
                <c:pt idx="146">
                  <c:v>419</c:v>
                </c:pt>
                <c:pt idx="147">
                  <c:v>420</c:v>
                </c:pt>
                <c:pt idx="148">
                  <c:v>421</c:v>
                </c:pt>
                <c:pt idx="149">
                  <c:v>422</c:v>
                </c:pt>
                <c:pt idx="150">
                  <c:v>423</c:v>
                </c:pt>
                <c:pt idx="151">
                  <c:v>424</c:v>
                </c:pt>
                <c:pt idx="152">
                  <c:v>425</c:v>
                </c:pt>
                <c:pt idx="153">
                  <c:v>426</c:v>
                </c:pt>
                <c:pt idx="154">
                  <c:v>427</c:v>
                </c:pt>
                <c:pt idx="155">
                  <c:v>428</c:v>
                </c:pt>
                <c:pt idx="156">
                  <c:v>429</c:v>
                </c:pt>
                <c:pt idx="157">
                  <c:v>430</c:v>
                </c:pt>
                <c:pt idx="158">
                  <c:v>431</c:v>
                </c:pt>
                <c:pt idx="159">
                  <c:v>432</c:v>
                </c:pt>
                <c:pt idx="160">
                  <c:v>433</c:v>
                </c:pt>
                <c:pt idx="161">
                  <c:v>434</c:v>
                </c:pt>
                <c:pt idx="162">
                  <c:v>435</c:v>
                </c:pt>
                <c:pt idx="163">
                  <c:v>436</c:v>
                </c:pt>
                <c:pt idx="164">
                  <c:v>437</c:v>
                </c:pt>
                <c:pt idx="165">
                  <c:v>438</c:v>
                </c:pt>
                <c:pt idx="166">
                  <c:v>439</c:v>
                </c:pt>
                <c:pt idx="167">
                  <c:v>440</c:v>
                </c:pt>
                <c:pt idx="168">
                  <c:v>441</c:v>
                </c:pt>
                <c:pt idx="169">
                  <c:v>442</c:v>
                </c:pt>
                <c:pt idx="170">
                  <c:v>443</c:v>
                </c:pt>
                <c:pt idx="171">
                  <c:v>444</c:v>
                </c:pt>
                <c:pt idx="172">
                  <c:v>445</c:v>
                </c:pt>
                <c:pt idx="173">
                  <c:v>446</c:v>
                </c:pt>
                <c:pt idx="174">
                  <c:v>447</c:v>
                </c:pt>
                <c:pt idx="175">
                  <c:v>448</c:v>
                </c:pt>
                <c:pt idx="176">
                  <c:v>449</c:v>
                </c:pt>
                <c:pt idx="177">
                  <c:v>450</c:v>
                </c:pt>
                <c:pt idx="178">
                  <c:v>451</c:v>
                </c:pt>
                <c:pt idx="179">
                  <c:v>452</c:v>
                </c:pt>
                <c:pt idx="180">
                  <c:v>453</c:v>
                </c:pt>
                <c:pt idx="181">
                  <c:v>454</c:v>
                </c:pt>
                <c:pt idx="182">
                  <c:v>455</c:v>
                </c:pt>
                <c:pt idx="183">
                  <c:v>456</c:v>
                </c:pt>
                <c:pt idx="184">
                  <c:v>457</c:v>
                </c:pt>
                <c:pt idx="185">
                  <c:v>458</c:v>
                </c:pt>
                <c:pt idx="186">
                  <c:v>459</c:v>
                </c:pt>
                <c:pt idx="187">
                  <c:v>460</c:v>
                </c:pt>
                <c:pt idx="188">
                  <c:v>461</c:v>
                </c:pt>
                <c:pt idx="189">
                  <c:v>462</c:v>
                </c:pt>
                <c:pt idx="190">
                  <c:v>463</c:v>
                </c:pt>
                <c:pt idx="191">
                  <c:v>464</c:v>
                </c:pt>
                <c:pt idx="192">
                  <c:v>465</c:v>
                </c:pt>
                <c:pt idx="193">
                  <c:v>466</c:v>
                </c:pt>
                <c:pt idx="194">
                  <c:v>467</c:v>
                </c:pt>
                <c:pt idx="195">
                  <c:v>468</c:v>
                </c:pt>
                <c:pt idx="196">
                  <c:v>469</c:v>
                </c:pt>
                <c:pt idx="197">
                  <c:v>470</c:v>
                </c:pt>
                <c:pt idx="198">
                  <c:v>471</c:v>
                </c:pt>
                <c:pt idx="199">
                  <c:v>472</c:v>
                </c:pt>
                <c:pt idx="200">
                  <c:v>473</c:v>
                </c:pt>
                <c:pt idx="201">
                  <c:v>474</c:v>
                </c:pt>
                <c:pt idx="202">
                  <c:v>475</c:v>
                </c:pt>
                <c:pt idx="203">
                  <c:v>476</c:v>
                </c:pt>
                <c:pt idx="204">
                  <c:v>477</c:v>
                </c:pt>
                <c:pt idx="205">
                  <c:v>478</c:v>
                </c:pt>
                <c:pt idx="206">
                  <c:v>479</c:v>
                </c:pt>
                <c:pt idx="207">
                  <c:v>480</c:v>
                </c:pt>
                <c:pt idx="208">
                  <c:v>481</c:v>
                </c:pt>
                <c:pt idx="209">
                  <c:v>482</c:v>
                </c:pt>
                <c:pt idx="210">
                  <c:v>483</c:v>
                </c:pt>
                <c:pt idx="211">
                  <c:v>484</c:v>
                </c:pt>
                <c:pt idx="212">
                  <c:v>485</c:v>
                </c:pt>
                <c:pt idx="213">
                  <c:v>486</c:v>
                </c:pt>
                <c:pt idx="214">
                  <c:v>487</c:v>
                </c:pt>
                <c:pt idx="215">
                  <c:v>488</c:v>
                </c:pt>
                <c:pt idx="216">
                  <c:v>489</c:v>
                </c:pt>
                <c:pt idx="217">
                  <c:v>490</c:v>
                </c:pt>
                <c:pt idx="218">
                  <c:v>491</c:v>
                </c:pt>
                <c:pt idx="219">
                  <c:v>492</c:v>
                </c:pt>
                <c:pt idx="220">
                  <c:v>493</c:v>
                </c:pt>
                <c:pt idx="221">
                  <c:v>494</c:v>
                </c:pt>
                <c:pt idx="222">
                  <c:v>495</c:v>
                </c:pt>
                <c:pt idx="223">
                  <c:v>496</c:v>
                </c:pt>
                <c:pt idx="224">
                  <c:v>497</c:v>
                </c:pt>
                <c:pt idx="225">
                  <c:v>498</c:v>
                </c:pt>
                <c:pt idx="226">
                  <c:v>499</c:v>
                </c:pt>
                <c:pt idx="227">
                  <c:v>500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6E5E-4FEE-A151-3081192B650F}"/>
            </c:ext>
          </c:extLst>
        </c:ser>
        <c:ser>
          <c:idx val="3"/>
          <c:order val="5"/>
          <c:marker>
            <c:symbol val="none"/>
          </c:marker>
          <c:xVal>
            <c:numRef>
              <c:f>List1!$W$3:$W$230</c:f>
              <c:numCache>
                <c:formatCode>General</c:formatCode>
                <c:ptCount val="228"/>
                <c:pt idx="0">
                  <c:v>0.99935383812074075</c:v>
                </c:pt>
                <c:pt idx="1">
                  <c:v>1.0036571124029343</c:v>
                </c:pt>
                <c:pt idx="2">
                  <c:v>1.007949921588732</c:v>
                </c:pt>
                <c:pt idx="3">
                  <c:v>1.0122323565496221</c:v>
                </c:pt>
                <c:pt idx="4">
                  <c:v>1.0165045076500987</c:v>
                </c:pt>
                <c:pt idx="5">
                  <c:v>1.0207664647681178</c:v>
                </c:pt>
                <c:pt idx="6">
                  <c:v>1.025018317315169</c:v>
                </c:pt>
                <c:pt idx="7">
                  <c:v>1.0292601542559727</c:v>
                </c:pt>
                <c:pt idx="8">
                  <c:v>1.0334920641278504</c:v>
                </c:pt>
                <c:pt idx="9">
                  <c:v>1.0377141350597896</c:v>
                </c:pt>
                <c:pt idx="10">
                  <c:v>1.0419264547912337</c:v>
                </c:pt>
                <c:pt idx="11">
                  <c:v>1.0461291106906001</c:v>
                </c:pt>
                <c:pt idx="12">
                  <c:v>1.0503221897736099</c:v>
                </c:pt>
                <c:pt idx="13">
                  <c:v>1.0545057787213796</c:v>
                </c:pt>
                <c:pt idx="14">
                  <c:v>1.0586799638983757</c:v>
                </c:pt>
                <c:pt idx="15">
                  <c:v>1.0628448313701864</c:v>
                </c:pt>
                <c:pt idx="16">
                  <c:v>1.0670004669212028</c:v>
                </c:pt>
                <c:pt idx="17">
                  <c:v>1.0711469560721758</c:v>
                </c:pt>
                <c:pt idx="18">
                  <c:v>1.0752843840977115</c:v>
                </c:pt>
                <c:pt idx="19">
                  <c:v>1.0794128360437187</c:v>
                </c:pt>
                <c:pt idx="20">
                  <c:v>1.0835323967448098</c:v>
                </c:pt>
                <c:pt idx="21">
                  <c:v>1.0876431508417204</c:v>
                </c:pt>
                <c:pt idx="22">
                  <c:v>1.0917451827987306</c:v>
                </c:pt>
                <c:pt idx="23">
                  <c:v>1.0958385769211378</c:v>
                </c:pt>
                <c:pt idx="24">
                  <c:v>1.0999234173727939</c:v>
                </c:pt>
                <c:pt idx="25">
                  <c:v>1.1039997881937191</c:v>
                </c:pt>
                <c:pt idx="26">
                  <c:v>1.1080677733178383</c:v>
                </c:pt>
                <c:pt idx="27">
                  <c:v>1.112127456590849</c:v>
                </c:pt>
                <c:pt idx="28">
                  <c:v>1.1161789217882361</c:v>
                </c:pt>
                <c:pt idx="29">
                  <c:v>1.1202222526334802</c:v>
                </c:pt>
                <c:pt idx="30">
                  <c:v>1.1242575328164468</c:v>
                </c:pt>
                <c:pt idx="31">
                  <c:v>1.1282848460120287</c:v>
                </c:pt>
                <c:pt idx="32">
                  <c:v>1.1323042758990149</c:v>
                </c:pt>
                <c:pt idx="33">
                  <c:v>1.1363159061792447</c:v>
                </c:pt>
                <c:pt idx="34">
                  <c:v>1.1403198205970508</c:v>
                </c:pt>
                <c:pt idx="35">
                  <c:v>1.1443161029590414</c:v>
                </c:pt>
                <c:pt idx="36">
                  <c:v>1.1483048371542033</c:v>
                </c:pt>
                <c:pt idx="37">
                  <c:v>1.152286107174415</c:v>
                </c:pt>
                <c:pt idx="38">
                  <c:v>1.1562599971353227</c:v>
                </c:pt>
                <c:pt idx="39">
                  <c:v>1.1602265912976704</c:v>
                </c:pt>
                <c:pt idx="40">
                  <c:v>1.1641859740890776</c:v>
                </c:pt>
                <c:pt idx="41">
                  <c:v>1.1681382301262944</c:v>
                </c:pt>
                <c:pt idx="42">
                  <c:v>1.1720834442379842</c:v>
                </c:pt>
                <c:pt idx="43">
                  <c:v>1.1760217014880414</c:v>
                </c:pt>
                <c:pt idx="44">
                  <c:v>1.1799530871994934</c:v>
                </c:pt>
                <c:pt idx="45">
                  <c:v>1.1838776869789995</c:v>
                </c:pt>
                <c:pt idx="46">
                  <c:v>1.1877955867420156</c:v>
                </c:pt>
                <c:pt idx="47">
                  <c:v>1.1917068727386215</c:v>
                </c:pt>
                <c:pt idx="48">
                  <c:v>1.1956116315800682</c:v>
                </c:pt>
                <c:pt idx="49">
                  <c:v>1.1995099502660949</c:v>
                </c:pt>
                <c:pt idx="50">
                  <c:v>1.2034019162130283</c:v>
                </c:pt>
                <c:pt idx="51">
                  <c:v>1.2072876172827212</c:v>
                </c:pt>
                <c:pt idx="52">
                  <c:v>1.2111671418124004</c:v>
                </c:pt>
                <c:pt idx="53">
                  <c:v>1.2150405786454082</c:v>
                </c:pt>
                <c:pt idx="54">
                  <c:v>1.2189080171629554</c:v>
                </c:pt>
                <c:pt idx="55">
                  <c:v>1.2227695473168991</c:v>
                </c:pt>
                <c:pt idx="56">
                  <c:v>1.2266252596635954</c:v>
                </c:pt>
                <c:pt idx="57">
                  <c:v>1.2304752453989167</c:v>
                </c:pt>
                <c:pt idx="58">
                  <c:v>1.2343195963944575</c:v>
                </c:pt>
                <c:pt idx="59">
                  <c:v>1.2381584052350196</c:v>
                </c:pt>
                <c:pt idx="60">
                  <c:v>1.2419917652574359</c:v>
                </c:pt>
                <c:pt idx="61">
                  <c:v>1.2458197705907987</c:v>
                </c:pt>
                <c:pt idx="62">
                  <c:v>1.2496425161981703</c:v>
                </c:pt>
                <c:pt idx="63">
                  <c:v>1.253460097919872</c:v>
                </c:pt>
                <c:pt idx="64">
                  <c:v>1.2572726125184119</c:v>
                </c:pt>
                <c:pt idx="65">
                  <c:v>1.2610801577251685</c:v>
                </c:pt>
                <c:pt idx="66">
                  <c:v>1.2648828322888912</c:v>
                </c:pt>
                <c:pt idx="67">
                  <c:v>1.2686807360261754</c:v>
                </c:pt>
                <c:pt idx="68">
                  <c:v>1.2724739698739582</c:v>
                </c:pt>
                <c:pt idx="69">
                  <c:v>1.276262635944196</c:v>
                </c:pt>
                <c:pt idx="70">
                  <c:v>1.2800468375808449</c:v>
                </c:pt>
                <c:pt idx="71">
                  <c:v>1.2838266794192421</c:v>
                </c:pt>
                <c:pt idx="72">
                  <c:v>1.2876022674480709</c:v>
                </c:pt>
                <c:pt idx="73">
                  <c:v>1.2913737090740509</c:v>
                </c:pt>
                <c:pt idx="74">
                  <c:v>1.295141113189485</c:v>
                </c:pt>
                <c:pt idx="75">
                  <c:v>1.2989045902428917</c:v>
                </c:pt>
                <c:pt idx="76">
                  <c:v>1.3026642523128524</c:v>
                </c:pt>
                <c:pt idx="77">
                  <c:v>1.3064202131853251</c:v>
                </c:pt>
                <c:pt idx="78">
                  <c:v>1.3101725884345881</c:v>
                </c:pt>
                <c:pt idx="79">
                  <c:v>1.313921495508096</c:v>
                </c:pt>
                <c:pt idx="80">
                  <c:v>1.3176670538154613</c:v>
                </c:pt>
                <c:pt idx="81">
                  <c:v>1.3214093848218289</c:v>
                </c:pt>
                <c:pt idx="82">
                  <c:v>1.3251486121459628</c:v>
                </c:pt>
                <c:pt idx="83">
                  <c:v>1.3288848616633187</c:v>
                </c:pt>
                <c:pt idx="84">
                  <c:v>1.3326182616144591</c:v>
                </c:pt>
                <c:pt idx="85">
                  <c:v>1.3363489427191748</c:v>
                </c:pt>
                <c:pt idx="86">
                  <c:v>1.3400770382966898</c:v>
                </c:pt>
                <c:pt idx="87">
                  <c:v>1.3438026843923925</c:v>
                </c:pt>
                <c:pt idx="88">
                  <c:v>1.3475260199115398</c:v>
                </c:pt>
                <c:pt idx="89">
                  <c:v>1.3512471867604432</c:v>
                </c:pt>
                <c:pt idx="90">
                  <c:v>1.3549663299956802</c:v>
                </c:pt>
                <c:pt idx="91">
                  <c:v>1.3586835979819074</c:v>
                </c:pt>
                <c:pt idx="92">
                  <c:v>1.3623991425589403</c:v>
                </c:pt>
                <c:pt idx="93">
                  <c:v>1.366113119218791</c:v>
                </c:pt>
                <c:pt idx="94">
                  <c:v>1.3698256872934167</c:v>
                </c:pt>
                <c:pt idx="95">
                  <c:v>1.3735370101540452</c:v>
                </c:pt>
                <c:pt idx="96">
                  <c:v>1.3772472554229509</c:v>
                </c:pt>
                <c:pt idx="97">
                  <c:v>1.3809565951987335</c:v>
                </c:pt>
                <c:pt idx="98">
                  <c:v>1.3846652062961544</c:v>
                </c:pt>
                <c:pt idx="99">
                  <c:v>1.3883732705017666</c:v>
                </c:pt>
                <c:pt idx="100">
                  <c:v>1.3920809748466492</c:v>
                </c:pt>
                <c:pt idx="101">
                  <c:v>1.395788511897728</c:v>
                </c:pt>
                <c:pt idx="102">
                  <c:v>1.3994960800692851</c:v>
                </c:pt>
                <c:pt idx="103">
                  <c:v>1.4032038839564369</c:v>
                </c:pt>
                <c:pt idx="104">
                  <c:v>1.4069121346925726</c:v>
                </c:pt>
                <c:pt idx="105">
                  <c:v>1.4106210503329268</c:v>
                </c:pt>
                <c:pt idx="106">
                  <c:v>1.4143308562667165</c:v>
                </c:pt>
                <c:pt idx="107">
                  <c:v>1.4180417856605523</c:v>
                </c:pt>
                <c:pt idx="108">
                  <c:v>1.421754079936125</c:v>
                </c:pt>
                <c:pt idx="109">
                  <c:v>1.4254679892855344</c:v>
                </c:pt>
                <c:pt idx="110">
                  <c:v>1.4291837732280082</c:v>
                </c:pt>
                <c:pt idx="111">
                  <c:v>1.4329017012122216</c:v>
                </c:pt>
                <c:pt idx="112">
                  <c:v>1.4366220532689484</c:v>
                </c:pt>
                <c:pt idx="113">
                  <c:v>1.4403451207193387</c:v>
                </c:pt>
                <c:pt idx="114">
                  <c:v>1.4440712069448318</c:v>
                </c:pt>
                <c:pt idx="115">
                  <c:v>1.4478006282254461</c:v>
                </c:pt>
                <c:pt idx="116">
                  <c:v>1.4515337146541378</c:v>
                </c:pt>
                <c:pt idx="117">
                  <c:v>1.4552708111358765</c:v>
                </c:pt>
                <c:pt idx="118">
                  <c:v>1.4590122784813726</c:v>
                </c:pt>
                <c:pt idx="119">
                  <c:v>1.4627584946067025</c:v>
                </c:pt>
                <c:pt idx="120">
                  <c:v>1.4665098558517549</c:v>
                </c:pt>
                <c:pt idx="121">
                  <c:v>1.4702667784322663</c:v>
                </c:pt>
                <c:pt idx="122">
                  <c:v>1.4740297000424785</c:v>
                </c:pt>
                <c:pt idx="123">
                  <c:v>1.4777990816280131</c:v>
                </c:pt>
                <c:pt idx="124">
                  <c:v>1.4815754093516875</c:v>
                </c:pt>
                <c:pt idx="125">
                  <c:v>1.4853591967785957</c:v>
                </c:pt>
                <c:pt idx="126">
                  <c:v>1.4891509873111239</c:v>
                </c:pt>
                <c:pt idx="127">
                  <c:v>1.4929513569097939</c:v>
                </c:pt>
                <c:pt idx="128">
                  <c:v>1.4967609171419463</c:v>
                </c:pt>
                <c:pt idx="129">
                  <c:v>1.5005803186077911</c:v>
                </c:pt>
                <c:pt idx="130">
                  <c:v>1.5044102548023932</c:v>
                </c:pt>
                <c:pt idx="131">
                  <c:v>1.5082514664830589</c:v>
                </c:pt>
                <c:pt idx="132">
                  <c:v>1.5121047466250273</c:v>
                </c:pt>
                <c:pt idx="133">
                  <c:v>1.5159709460647892</c:v>
                </c:pt>
                <c:pt idx="134">
                  <c:v>1.5198509799506008</c:v>
                </c:pt>
                <c:pt idx="135">
                  <c:v>1.5237458351449489</c:v>
                </c:pt>
                <c:pt idx="136">
                  <c:v>1.5276565787551482</c:v>
                </c:pt>
                <c:pt idx="137">
                  <c:v>1.5315843680077781</c:v>
                </c:pt>
                <c:pt idx="138">
                  <c:v>1.5355304617326928</c:v>
                </c:pt>
                <c:pt idx="139">
                  <c:v>1.5394962337861589</c:v>
                </c:pt>
                <c:pt idx="140">
                  <c:v>1.5434831888247296</c:v>
                </c:pt>
                <c:pt idx="141">
                  <c:v>1.5474929809478202</c:v>
                </c:pt>
                <c:pt idx="142">
                  <c:v>1.5515274358660895</c:v>
                </c:pt>
                <c:pt idx="143">
                  <c:v>1.5555885774365181</c:v>
                </c:pt>
                <c:pt idx="144">
                  <c:v>1.5596786596503731</c:v>
                </c:pt>
                <c:pt idx="145">
                  <c:v>1.5638002054912665</c:v>
                </c:pt>
                <c:pt idx="146">
                  <c:v>1.5679560545327833</c:v>
                </c:pt>
                <c:pt idx="147">
                  <c:v>1.5721494217710987</c:v>
                </c:pt>
                <c:pt idx="148">
                  <c:v>1.5763839710668965</c:v>
                </c:pt>
                <c:pt idx="149">
                  <c:v>1.5806639078244011</c:v>
                </c:pt>
                <c:pt idx="150">
                  <c:v>1.5849940973538441</c:v>
                </c:pt>
                <c:pt idx="151">
                  <c:v>1.5893802180526375</c:v>
                </c:pt>
                <c:pt idx="152">
                  <c:v>1.5938289626003692</c:v>
                </c:pt>
                <c:pt idx="153">
                  <c:v>1.5983483066377104</c:v>
                </c:pt>
                <c:pt idx="154">
                  <c:v>1.6029478743559193</c:v>
                </c:pt>
                <c:pt idx="155">
                  <c:v>1.6076394466979418</c:v>
                </c:pt>
                <c:pt idx="156">
                  <c:v>1.612437685389551</c:v>
                </c:pt>
                <c:pt idx="157">
                  <c:v>1.6173611943994382</c:v>
                </c:pt>
                <c:pt idx="158">
                  <c:v>1.6224341294517362</c:v>
                </c:pt>
                <c:pt idx="159">
                  <c:v>1.6276887390978472</c:v>
                </c:pt>
                <c:pt idx="160">
                  <c:v>1.6331695790984819</c:v>
                </c:pt>
                <c:pt idx="161">
                  <c:v>1.6389409459654878</c:v>
                </c:pt>
                <c:pt idx="162">
                  <c:v>1.6451010727956192</c:v>
                </c:pt>
                <c:pt idx="163">
                  <c:v>1.6518123014955362</c:v>
                </c:pt>
                <c:pt idx="164">
                  <c:v>1.6593758699874803</c:v>
                </c:pt>
                <c:pt idx="165">
                  <c:v>1.6684690487033711</c:v>
                </c:pt>
                <c:pt idx="166">
                  <c:v>1.6813913222963466</c:v>
                </c:pt>
              </c:numCache>
            </c:numRef>
          </c:xVal>
          <c:yVal>
            <c:numRef>
              <c:f>List1!$Y$3:$Y$230</c:f>
              <c:numCache>
                <c:formatCode>General</c:formatCode>
                <c:ptCount val="228"/>
                <c:pt idx="0">
                  <c:v>273</c:v>
                </c:pt>
                <c:pt idx="1">
                  <c:v>274</c:v>
                </c:pt>
                <c:pt idx="2">
                  <c:v>275</c:v>
                </c:pt>
                <c:pt idx="3">
                  <c:v>276</c:v>
                </c:pt>
                <c:pt idx="4">
                  <c:v>277</c:v>
                </c:pt>
                <c:pt idx="5">
                  <c:v>278</c:v>
                </c:pt>
                <c:pt idx="6">
                  <c:v>279</c:v>
                </c:pt>
                <c:pt idx="7">
                  <c:v>280</c:v>
                </c:pt>
                <c:pt idx="8">
                  <c:v>281</c:v>
                </c:pt>
                <c:pt idx="9">
                  <c:v>282</c:v>
                </c:pt>
                <c:pt idx="10">
                  <c:v>283</c:v>
                </c:pt>
                <c:pt idx="11">
                  <c:v>284</c:v>
                </c:pt>
                <c:pt idx="12">
                  <c:v>285</c:v>
                </c:pt>
                <c:pt idx="13">
                  <c:v>286</c:v>
                </c:pt>
                <c:pt idx="14">
                  <c:v>287</c:v>
                </c:pt>
                <c:pt idx="15">
                  <c:v>288</c:v>
                </c:pt>
                <c:pt idx="16">
                  <c:v>289</c:v>
                </c:pt>
                <c:pt idx="17">
                  <c:v>290</c:v>
                </c:pt>
                <c:pt idx="18">
                  <c:v>291</c:v>
                </c:pt>
                <c:pt idx="19">
                  <c:v>292</c:v>
                </c:pt>
                <c:pt idx="20">
                  <c:v>293</c:v>
                </c:pt>
                <c:pt idx="21">
                  <c:v>294</c:v>
                </c:pt>
                <c:pt idx="22">
                  <c:v>295</c:v>
                </c:pt>
                <c:pt idx="23">
                  <c:v>296</c:v>
                </c:pt>
                <c:pt idx="24">
                  <c:v>297</c:v>
                </c:pt>
                <c:pt idx="25">
                  <c:v>298</c:v>
                </c:pt>
                <c:pt idx="26">
                  <c:v>299</c:v>
                </c:pt>
                <c:pt idx="27">
                  <c:v>300</c:v>
                </c:pt>
                <c:pt idx="28">
                  <c:v>301</c:v>
                </c:pt>
                <c:pt idx="29">
                  <c:v>302</c:v>
                </c:pt>
                <c:pt idx="30">
                  <c:v>303</c:v>
                </c:pt>
                <c:pt idx="31">
                  <c:v>304</c:v>
                </c:pt>
                <c:pt idx="32">
                  <c:v>305</c:v>
                </c:pt>
                <c:pt idx="33">
                  <c:v>306</c:v>
                </c:pt>
                <c:pt idx="34">
                  <c:v>307</c:v>
                </c:pt>
                <c:pt idx="35">
                  <c:v>308</c:v>
                </c:pt>
                <c:pt idx="36">
                  <c:v>309</c:v>
                </c:pt>
                <c:pt idx="37">
                  <c:v>310</c:v>
                </c:pt>
                <c:pt idx="38">
                  <c:v>311</c:v>
                </c:pt>
                <c:pt idx="39">
                  <c:v>312</c:v>
                </c:pt>
                <c:pt idx="40">
                  <c:v>313</c:v>
                </c:pt>
                <c:pt idx="41">
                  <c:v>314</c:v>
                </c:pt>
                <c:pt idx="42">
                  <c:v>315</c:v>
                </c:pt>
                <c:pt idx="43">
                  <c:v>316</c:v>
                </c:pt>
                <c:pt idx="44">
                  <c:v>317</c:v>
                </c:pt>
                <c:pt idx="45">
                  <c:v>318</c:v>
                </c:pt>
                <c:pt idx="46">
                  <c:v>319</c:v>
                </c:pt>
                <c:pt idx="47">
                  <c:v>320</c:v>
                </c:pt>
                <c:pt idx="48">
                  <c:v>321</c:v>
                </c:pt>
                <c:pt idx="49">
                  <c:v>322</c:v>
                </c:pt>
                <c:pt idx="50">
                  <c:v>323</c:v>
                </c:pt>
                <c:pt idx="51">
                  <c:v>324</c:v>
                </c:pt>
                <c:pt idx="52">
                  <c:v>325</c:v>
                </c:pt>
                <c:pt idx="53">
                  <c:v>326</c:v>
                </c:pt>
                <c:pt idx="54">
                  <c:v>327</c:v>
                </c:pt>
                <c:pt idx="55">
                  <c:v>328</c:v>
                </c:pt>
                <c:pt idx="56">
                  <c:v>329</c:v>
                </c:pt>
                <c:pt idx="57">
                  <c:v>330</c:v>
                </c:pt>
                <c:pt idx="58">
                  <c:v>331</c:v>
                </c:pt>
                <c:pt idx="59">
                  <c:v>332</c:v>
                </c:pt>
                <c:pt idx="60">
                  <c:v>333</c:v>
                </c:pt>
                <c:pt idx="61">
                  <c:v>334</c:v>
                </c:pt>
                <c:pt idx="62">
                  <c:v>335</c:v>
                </c:pt>
                <c:pt idx="63">
                  <c:v>336</c:v>
                </c:pt>
                <c:pt idx="64">
                  <c:v>337</c:v>
                </c:pt>
                <c:pt idx="65">
                  <c:v>338</c:v>
                </c:pt>
                <c:pt idx="66">
                  <c:v>339</c:v>
                </c:pt>
                <c:pt idx="67">
                  <c:v>340</c:v>
                </c:pt>
                <c:pt idx="68">
                  <c:v>341</c:v>
                </c:pt>
                <c:pt idx="69">
                  <c:v>342</c:v>
                </c:pt>
                <c:pt idx="70">
                  <c:v>343</c:v>
                </c:pt>
                <c:pt idx="71">
                  <c:v>344</c:v>
                </c:pt>
                <c:pt idx="72">
                  <c:v>345</c:v>
                </c:pt>
                <c:pt idx="73">
                  <c:v>346</c:v>
                </c:pt>
                <c:pt idx="74">
                  <c:v>347</c:v>
                </c:pt>
                <c:pt idx="75">
                  <c:v>348</c:v>
                </c:pt>
                <c:pt idx="76">
                  <c:v>349</c:v>
                </c:pt>
                <c:pt idx="77">
                  <c:v>350</c:v>
                </c:pt>
                <c:pt idx="78">
                  <c:v>351</c:v>
                </c:pt>
                <c:pt idx="79">
                  <c:v>352</c:v>
                </c:pt>
                <c:pt idx="80">
                  <c:v>353</c:v>
                </c:pt>
                <c:pt idx="81">
                  <c:v>354</c:v>
                </c:pt>
                <c:pt idx="82">
                  <c:v>355</c:v>
                </c:pt>
                <c:pt idx="83">
                  <c:v>356</c:v>
                </c:pt>
                <c:pt idx="84">
                  <c:v>357</c:v>
                </c:pt>
                <c:pt idx="85">
                  <c:v>358</c:v>
                </c:pt>
                <c:pt idx="86">
                  <c:v>359</c:v>
                </c:pt>
                <c:pt idx="87">
                  <c:v>360</c:v>
                </c:pt>
                <c:pt idx="88">
                  <c:v>361</c:v>
                </c:pt>
                <c:pt idx="89">
                  <c:v>362</c:v>
                </c:pt>
                <c:pt idx="90">
                  <c:v>363</c:v>
                </c:pt>
                <c:pt idx="91">
                  <c:v>364</c:v>
                </c:pt>
                <c:pt idx="92">
                  <c:v>365</c:v>
                </c:pt>
                <c:pt idx="93">
                  <c:v>366</c:v>
                </c:pt>
                <c:pt idx="94">
                  <c:v>367</c:v>
                </c:pt>
                <c:pt idx="95">
                  <c:v>368</c:v>
                </c:pt>
                <c:pt idx="96">
                  <c:v>369</c:v>
                </c:pt>
                <c:pt idx="97">
                  <c:v>370</c:v>
                </c:pt>
                <c:pt idx="98">
                  <c:v>371</c:v>
                </c:pt>
                <c:pt idx="99">
                  <c:v>372</c:v>
                </c:pt>
                <c:pt idx="100">
                  <c:v>373</c:v>
                </c:pt>
                <c:pt idx="101">
                  <c:v>374</c:v>
                </c:pt>
                <c:pt idx="102">
                  <c:v>375</c:v>
                </c:pt>
                <c:pt idx="103">
                  <c:v>376</c:v>
                </c:pt>
                <c:pt idx="104">
                  <c:v>377</c:v>
                </c:pt>
                <c:pt idx="105">
                  <c:v>378</c:v>
                </c:pt>
                <c:pt idx="106">
                  <c:v>379</c:v>
                </c:pt>
                <c:pt idx="107">
                  <c:v>380</c:v>
                </c:pt>
                <c:pt idx="108">
                  <c:v>381</c:v>
                </c:pt>
                <c:pt idx="109">
                  <c:v>382</c:v>
                </c:pt>
                <c:pt idx="110">
                  <c:v>383</c:v>
                </c:pt>
                <c:pt idx="111">
                  <c:v>384</c:v>
                </c:pt>
                <c:pt idx="112">
                  <c:v>385</c:v>
                </c:pt>
                <c:pt idx="113">
                  <c:v>386</c:v>
                </c:pt>
                <c:pt idx="114">
                  <c:v>387</c:v>
                </c:pt>
                <c:pt idx="115">
                  <c:v>388</c:v>
                </c:pt>
                <c:pt idx="116">
                  <c:v>389</c:v>
                </c:pt>
                <c:pt idx="117">
                  <c:v>390</c:v>
                </c:pt>
                <c:pt idx="118">
                  <c:v>391</c:v>
                </c:pt>
                <c:pt idx="119">
                  <c:v>392</c:v>
                </c:pt>
                <c:pt idx="120">
                  <c:v>393</c:v>
                </c:pt>
                <c:pt idx="121">
                  <c:v>394</c:v>
                </c:pt>
                <c:pt idx="122">
                  <c:v>395</c:v>
                </c:pt>
                <c:pt idx="123">
                  <c:v>396</c:v>
                </c:pt>
                <c:pt idx="124">
                  <c:v>397</c:v>
                </c:pt>
                <c:pt idx="125">
                  <c:v>398</c:v>
                </c:pt>
                <c:pt idx="126">
                  <c:v>399</c:v>
                </c:pt>
                <c:pt idx="127">
                  <c:v>400</c:v>
                </c:pt>
                <c:pt idx="128">
                  <c:v>401</c:v>
                </c:pt>
                <c:pt idx="129">
                  <c:v>402</c:v>
                </c:pt>
                <c:pt idx="130">
                  <c:v>403</c:v>
                </c:pt>
                <c:pt idx="131">
                  <c:v>404</c:v>
                </c:pt>
                <c:pt idx="132">
                  <c:v>405</c:v>
                </c:pt>
                <c:pt idx="133">
                  <c:v>406</c:v>
                </c:pt>
                <c:pt idx="134">
                  <c:v>407</c:v>
                </c:pt>
                <c:pt idx="135">
                  <c:v>408</c:v>
                </c:pt>
                <c:pt idx="136">
                  <c:v>409</c:v>
                </c:pt>
                <c:pt idx="137">
                  <c:v>410</c:v>
                </c:pt>
                <c:pt idx="138">
                  <c:v>411</c:v>
                </c:pt>
                <c:pt idx="139">
                  <c:v>412</c:v>
                </c:pt>
                <c:pt idx="140">
                  <c:v>413</c:v>
                </c:pt>
                <c:pt idx="141">
                  <c:v>414</c:v>
                </c:pt>
                <c:pt idx="142">
                  <c:v>415</c:v>
                </c:pt>
                <c:pt idx="143">
                  <c:v>416</c:v>
                </c:pt>
                <c:pt idx="144">
                  <c:v>417</c:v>
                </c:pt>
                <c:pt idx="145">
                  <c:v>418</c:v>
                </c:pt>
                <c:pt idx="146">
                  <c:v>419</c:v>
                </c:pt>
                <c:pt idx="147">
                  <c:v>420</c:v>
                </c:pt>
                <c:pt idx="148">
                  <c:v>421</c:v>
                </c:pt>
                <c:pt idx="149">
                  <c:v>422</c:v>
                </c:pt>
                <c:pt idx="150">
                  <c:v>423</c:v>
                </c:pt>
                <c:pt idx="151">
                  <c:v>424</c:v>
                </c:pt>
                <c:pt idx="152">
                  <c:v>425</c:v>
                </c:pt>
                <c:pt idx="153">
                  <c:v>426</c:v>
                </c:pt>
                <c:pt idx="154">
                  <c:v>427</c:v>
                </c:pt>
                <c:pt idx="155">
                  <c:v>428</c:v>
                </c:pt>
                <c:pt idx="156">
                  <c:v>429</c:v>
                </c:pt>
                <c:pt idx="157">
                  <c:v>430</c:v>
                </c:pt>
                <c:pt idx="158">
                  <c:v>431</c:v>
                </c:pt>
                <c:pt idx="159">
                  <c:v>432</c:v>
                </c:pt>
                <c:pt idx="160">
                  <c:v>433</c:v>
                </c:pt>
                <c:pt idx="161">
                  <c:v>434</c:v>
                </c:pt>
                <c:pt idx="162">
                  <c:v>435</c:v>
                </c:pt>
                <c:pt idx="163">
                  <c:v>436</c:v>
                </c:pt>
                <c:pt idx="164">
                  <c:v>437</c:v>
                </c:pt>
                <c:pt idx="165">
                  <c:v>438</c:v>
                </c:pt>
                <c:pt idx="166">
                  <c:v>439</c:v>
                </c:pt>
                <c:pt idx="167">
                  <c:v>440</c:v>
                </c:pt>
                <c:pt idx="168">
                  <c:v>441</c:v>
                </c:pt>
                <c:pt idx="169">
                  <c:v>442</c:v>
                </c:pt>
                <c:pt idx="170">
                  <c:v>443</c:v>
                </c:pt>
                <c:pt idx="171">
                  <c:v>444</c:v>
                </c:pt>
                <c:pt idx="172">
                  <c:v>445</c:v>
                </c:pt>
                <c:pt idx="173">
                  <c:v>446</c:v>
                </c:pt>
                <c:pt idx="174">
                  <c:v>447</c:v>
                </c:pt>
                <c:pt idx="175">
                  <c:v>448</c:v>
                </c:pt>
                <c:pt idx="176">
                  <c:v>449</c:v>
                </c:pt>
                <c:pt idx="177">
                  <c:v>450</c:v>
                </c:pt>
                <c:pt idx="178">
                  <c:v>451</c:v>
                </c:pt>
                <c:pt idx="179">
                  <c:v>452</c:v>
                </c:pt>
                <c:pt idx="180">
                  <c:v>453</c:v>
                </c:pt>
                <c:pt idx="181">
                  <c:v>454</c:v>
                </c:pt>
                <c:pt idx="182">
                  <c:v>455</c:v>
                </c:pt>
                <c:pt idx="183">
                  <c:v>456</c:v>
                </c:pt>
                <c:pt idx="184">
                  <c:v>457</c:v>
                </c:pt>
                <c:pt idx="185">
                  <c:v>458</c:v>
                </c:pt>
                <c:pt idx="186">
                  <c:v>459</c:v>
                </c:pt>
                <c:pt idx="187">
                  <c:v>460</c:v>
                </c:pt>
                <c:pt idx="188">
                  <c:v>461</c:v>
                </c:pt>
                <c:pt idx="189">
                  <c:v>462</c:v>
                </c:pt>
                <c:pt idx="190">
                  <c:v>463</c:v>
                </c:pt>
                <c:pt idx="191">
                  <c:v>464</c:v>
                </c:pt>
                <c:pt idx="192">
                  <c:v>465</c:v>
                </c:pt>
                <c:pt idx="193">
                  <c:v>466</c:v>
                </c:pt>
                <c:pt idx="194">
                  <c:v>467</c:v>
                </c:pt>
                <c:pt idx="195">
                  <c:v>468</c:v>
                </c:pt>
                <c:pt idx="196">
                  <c:v>469</c:v>
                </c:pt>
                <c:pt idx="197">
                  <c:v>470</c:v>
                </c:pt>
                <c:pt idx="198">
                  <c:v>471</c:v>
                </c:pt>
                <c:pt idx="199">
                  <c:v>472</c:v>
                </c:pt>
                <c:pt idx="200">
                  <c:v>473</c:v>
                </c:pt>
                <c:pt idx="201">
                  <c:v>474</c:v>
                </c:pt>
                <c:pt idx="202">
                  <c:v>475</c:v>
                </c:pt>
                <c:pt idx="203">
                  <c:v>476</c:v>
                </c:pt>
                <c:pt idx="204">
                  <c:v>477</c:v>
                </c:pt>
                <c:pt idx="205">
                  <c:v>478</c:v>
                </c:pt>
                <c:pt idx="206">
                  <c:v>479</c:v>
                </c:pt>
                <c:pt idx="207">
                  <c:v>480</c:v>
                </c:pt>
                <c:pt idx="208">
                  <c:v>481</c:v>
                </c:pt>
                <c:pt idx="209">
                  <c:v>482</c:v>
                </c:pt>
                <c:pt idx="210">
                  <c:v>483</c:v>
                </c:pt>
                <c:pt idx="211">
                  <c:v>484</c:v>
                </c:pt>
                <c:pt idx="212">
                  <c:v>485</c:v>
                </c:pt>
                <c:pt idx="213">
                  <c:v>486</c:v>
                </c:pt>
                <c:pt idx="214">
                  <c:v>487</c:v>
                </c:pt>
                <c:pt idx="215">
                  <c:v>488</c:v>
                </c:pt>
                <c:pt idx="216">
                  <c:v>489</c:v>
                </c:pt>
                <c:pt idx="217">
                  <c:v>490</c:v>
                </c:pt>
                <c:pt idx="218">
                  <c:v>491</c:v>
                </c:pt>
                <c:pt idx="219">
                  <c:v>492</c:v>
                </c:pt>
                <c:pt idx="220">
                  <c:v>493</c:v>
                </c:pt>
                <c:pt idx="221">
                  <c:v>494</c:v>
                </c:pt>
                <c:pt idx="222">
                  <c:v>495</c:v>
                </c:pt>
                <c:pt idx="223">
                  <c:v>496</c:v>
                </c:pt>
                <c:pt idx="224">
                  <c:v>497</c:v>
                </c:pt>
                <c:pt idx="225">
                  <c:v>498</c:v>
                </c:pt>
                <c:pt idx="226">
                  <c:v>499</c:v>
                </c:pt>
                <c:pt idx="227">
                  <c:v>500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6E5E-4FEE-A151-3081192B650F}"/>
            </c:ext>
          </c:extLst>
        </c:ser>
        <c:ser>
          <c:idx val="0"/>
          <c:order val="6"/>
          <c:tx>
            <c:strRef>
              <c:f>List1!$Y$2</c:f>
              <c:strCache>
                <c:ptCount val="1"/>
                <c:pt idx="0">
                  <c:v>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List1!$AA$3:$AA$230</c:f>
              <c:numCache>
                <c:formatCode>General</c:formatCode>
                <c:ptCount val="228"/>
                <c:pt idx="0">
                  <c:v>1.8069559969563556</c:v>
                </c:pt>
                <c:pt idx="1">
                  <c:v>1.8064890259091817</c:v>
                </c:pt>
                <c:pt idx="2">
                  <c:v>1.8060402493244945</c:v>
                </c:pt>
                <c:pt idx="3">
                  <c:v>1.805609349059256</c:v>
                </c:pt>
                <c:pt idx="4">
                  <c:v>1.8051960109592737</c:v>
                </c:pt>
                <c:pt idx="5">
                  <c:v>1.8047999247630764</c:v>
                </c:pt>
                <c:pt idx="6">
                  <c:v>1.8044207840070017</c:v>
                </c:pt>
                <c:pt idx="7">
                  <c:v>1.8040582859314085</c:v>
                </c:pt>
                <c:pt idx="8">
                  <c:v>1.8037121313879698</c:v>
                </c:pt>
                <c:pt idx="9">
                  <c:v>1.8033820247479551</c:v>
                </c:pt>
                <c:pt idx="10">
                  <c:v>1.8030676738114608</c:v>
                </c:pt>
                <c:pt idx="11">
                  <c:v>1.8027687897174955</c:v>
                </c:pt>
                <c:pt idx="12">
                  <c:v>1.8024850868548694</c:v>
                </c:pt>
                <c:pt idx="13">
                  <c:v>1.8022162827738235</c:v>
                </c:pt>
                <c:pt idx="14">
                  <c:v>1.8019620980983029</c:v>
                </c:pt>
                <c:pt idx="15">
                  <c:v>1.8017222564388551</c:v>
                </c:pt>
                <c:pt idx="16">
                  <c:v>1.8014964843060448</c:v>
                </c:pt>
                <c:pt idx="17">
                  <c:v>1.8012845110243405</c:v>
                </c:pt>
                <c:pt idx="18">
                  <c:v>1.801086068646413</c:v>
                </c:pt>
                <c:pt idx="19">
                  <c:v>1.8009008918677758</c:v>
                </c:pt>
                <c:pt idx="20">
                  <c:v>1.8007287179417071</c:v>
                </c:pt>
                <c:pt idx="21">
                  <c:v>1.8005692865943956</c:v>
                </c:pt>
                <c:pt idx="22">
                  <c:v>1.8004223399402597</c:v>
                </c:pt>
                <c:pt idx="23">
                  <c:v>1.8002876223973656</c:v>
                </c:pt>
                <c:pt idx="24">
                  <c:v>1.8001648806029116</c:v>
                </c:pt>
                <c:pt idx="25">
                  <c:v>1.8000538633287007</c:v>
                </c:pt>
                <c:pt idx="26">
                  <c:v>1.7999543213965654</c:v>
                </c:pt>
                <c:pt idx="27">
                  <c:v>1.799866007593685</c:v>
                </c:pt>
                <c:pt idx="28">
                  <c:v>1.799788676587744</c:v>
                </c:pt>
                <c:pt idx="29">
                  <c:v>1.7997220848418827</c:v>
                </c:pt>
                <c:pt idx="30">
                  <c:v>1.7996659905293753</c:v>
                </c:pt>
                <c:pt idx="31">
                  <c:v>1.7996201534480059</c:v>
                </c:pt>
                <c:pt idx="32">
                  <c:v>1.7995843349340741</c:v>
                </c:pt>
                <c:pt idx="33">
                  <c:v>1.7995582977759745</c:v>
                </c:pt>
                <c:pt idx="34">
                  <c:v>1.7995418061273019</c:v>
                </c:pt>
                <c:pt idx="35">
                  <c:v>1.79953462541943</c:v>
                </c:pt>
                <c:pt idx="36">
                  <c:v>1.7995365222734914</c:v>
                </c:pt>
                <c:pt idx="37">
                  <c:v>1.7995472644117061</c:v>
                </c:pt>
                <c:pt idx="38">
                  <c:v>1.7995666205679941</c:v>
                </c:pt>
                <c:pt idx="39">
                  <c:v>1.7995943603977929</c:v>
                </c:pt>
                <c:pt idx="40">
                  <c:v>1.7996302543870244</c:v>
                </c:pt>
                <c:pt idx="41">
                  <c:v>1.7996740737601162</c:v>
                </c:pt>
                <c:pt idx="42">
                  <c:v>1.7997255903870049</c:v>
                </c:pt>
                <c:pt idx="43">
                  <c:v>1.7997845766890272</c:v>
                </c:pt>
                <c:pt idx="44">
                  <c:v>1.7998508055436138</c:v>
                </c:pt>
                <c:pt idx="45">
                  <c:v>1.7999240501876608</c:v>
                </c:pt>
                <c:pt idx="46">
                  <c:v>1.8000040841194951</c:v>
                </c:pt>
                <c:pt idx="47">
                  <c:v>1.8000906809993016</c:v>
                </c:pt>
                <c:pt idx="48">
                  <c:v>1.8001836145478782</c:v>
                </c:pt>
                <c:pt idx="49">
                  <c:v>1.8002826584436031</c:v>
                </c:pt>
                <c:pt idx="50">
                  <c:v>1.8003875862174421</c:v>
                </c:pt>
                <c:pt idx="51">
                  <c:v>1.8004981711458485</c:v>
                </c:pt>
                <c:pt idx="52">
                  <c:v>1.8006141861413982</c:v>
                </c:pt>
                <c:pt idx="53">
                  <c:v>1.8007354036409431</c:v>
                </c:pt>
                <c:pt idx="54">
                  <c:v>1.8008615954911176</c:v>
                </c:pt>
                <c:pt idx="55">
                  <c:v>1.8009925328309724</c:v>
                </c:pt>
                <c:pt idx="56">
                  <c:v>1.8011279859715021</c:v>
                </c:pt>
                <c:pt idx="57">
                  <c:v>1.8012677242718365</c:v>
                </c:pt>
                <c:pt idx="58">
                  <c:v>1.8014115160118185</c:v>
                </c:pt>
                <c:pt idx="59">
                  <c:v>1.801559128260692</c:v>
                </c:pt>
                <c:pt idx="60">
                  <c:v>1.8017103267416048</c:v>
                </c:pt>
                <c:pt idx="61">
                  <c:v>1.8018648756915812</c:v>
                </c:pt>
                <c:pt idx="62">
                  <c:v>1.8020225377166401</c:v>
                </c:pt>
                <c:pt idx="63">
                  <c:v>1.8021830736416513</c:v>
                </c:pt>
                <c:pt idx="64">
                  <c:v>1.8023462423545655</c:v>
                </c:pt>
                <c:pt idx="65">
                  <c:v>1.8025118006445451</c:v>
                </c:pt>
                <c:pt idx="66">
                  <c:v>1.8026795030335523</c:v>
                </c:pt>
                <c:pt idx="67">
                  <c:v>1.8028491016008854</c:v>
                </c:pt>
                <c:pt idx="68">
                  <c:v>1.8030203458001175</c:v>
                </c:pt>
                <c:pt idx="69">
                  <c:v>1.8031929822678623</c:v>
                </c:pt>
                <c:pt idx="70">
                  <c:v>1.80336675462372</c:v>
                </c:pt>
                <c:pt idx="71">
                  <c:v>1.8035414032607426</c:v>
                </c:pt>
                <c:pt idx="72">
                  <c:v>1.803716665125666</c:v>
                </c:pt>
                <c:pt idx="73">
                  <c:v>1.8038922734881149</c:v>
                </c:pt>
                <c:pt idx="74">
                  <c:v>1.8040679576979246</c:v>
                </c:pt>
                <c:pt idx="75">
                  <c:v>1.8042434429296261</c:v>
                </c:pt>
                <c:pt idx="76">
                  <c:v>1.8044184499130991</c:v>
                </c:pt>
                <c:pt idx="77">
                  <c:v>1.8045926946492554</c:v>
                </c:pt>
                <c:pt idx="78">
                  <c:v>1.8047658881095741</c:v>
                </c:pt>
                <c:pt idx="79">
                  <c:v>1.8049377359181551</c:v>
                </c:pt>
                <c:pt idx="80">
                  <c:v>1.8051079380148651</c:v>
                </c:pt>
                <c:pt idx="81">
                  <c:v>1.8052761882979862</c:v>
                </c:pt>
                <c:pt idx="82">
                  <c:v>1.8054421742446864</c:v>
                </c:pt>
                <c:pt idx="83">
                  <c:v>1.8056055765073638</c:v>
                </c:pt>
                <c:pt idx="84">
                  <c:v>1.8057660684838559</c:v>
                </c:pt>
                <c:pt idx="85">
                  <c:v>1.8059233158591796</c:v>
                </c:pt>
                <c:pt idx="86">
                  <c:v>1.8060769761163269</c:v>
                </c:pt>
                <c:pt idx="87">
                  <c:v>1.8062266980133204</c:v>
                </c:pt>
                <c:pt idx="88">
                  <c:v>1.8063721210234709</c:v>
                </c:pt>
                <c:pt idx="89">
                  <c:v>1.8065128747354358</c:v>
                </c:pt>
                <c:pt idx="90">
                  <c:v>1.8066485782093198</c:v>
                </c:pt>
                <c:pt idx="91">
                  <c:v>1.8067788392846318</c:v>
                </c:pt>
                <c:pt idx="92">
                  <c:v>1.8069032538354235</c:v>
                </c:pt>
                <c:pt idx="93">
                  <c:v>1.807021404967444</c:v>
                </c:pt>
                <c:pt idx="94">
                  <c:v>1.8071328621514642</c:v>
                </c:pt>
                <c:pt idx="95">
                  <c:v>1.8072371802863194</c:v>
                </c:pt>
                <c:pt idx="96">
                  <c:v>1.8073338986843317</c:v>
                </c:pt>
                <c:pt idx="97">
                  <c:v>1.8074225399709543</c:v>
                </c:pt>
                <c:pt idx="98">
                  <c:v>1.8075026088893753</c:v>
                </c:pt>
                <c:pt idx="99">
                  <c:v>1.8075735909996822</c:v>
                </c:pt>
                <c:pt idx="100">
                  <c:v>1.8076349512607821</c:v>
                </c:pt>
                <c:pt idx="101">
                  <c:v>1.807686132481704</c:v>
                </c:pt>
                <c:pt idx="102">
                  <c:v>1.8077265536270712</c:v>
                </c:pt>
                <c:pt idx="103">
                  <c:v>1.8077556079594324</c:v>
                </c:pt>
                <c:pt idx="104">
                  <c:v>1.8077726609986231</c:v>
                </c:pt>
                <c:pt idx="105">
                  <c:v>1.8077770482754865</c:v>
                </c:pt>
                <c:pt idx="106">
                  <c:v>1.8077680728538681</c:v>
                </c:pt>
                <c:pt idx="107">
                  <c:v>1.8077450025908555</c:v>
                </c:pt>
                <c:pt idx="108">
                  <c:v>1.807707067100506</c:v>
                </c:pt>
                <c:pt idx="109">
                  <c:v>1.8076534543808407</c:v>
                </c:pt>
                <c:pt idx="110">
                  <c:v>1.8075833070572016</c:v>
                </c:pt>
                <c:pt idx="111">
                  <c:v>1.8074957181873235</c:v>
                </c:pt>
                <c:pt idx="112">
                  <c:v>1.8073897265640086</c:v>
                </c:pt>
                <c:pt idx="113">
                  <c:v>1.8072643114400389</c:v>
                </c:pt>
                <c:pt idx="114">
                  <c:v>1.8071183865863116</c:v>
                </c:pt>
                <c:pt idx="115">
                  <c:v>1.806950793577665</c:v>
                </c:pt>
                <c:pt idx="116">
                  <c:v>1.8067602941806444</c:v>
                </c:pt>
                <c:pt idx="117">
                  <c:v>1.8065455616927717</c:v>
                </c:pt>
                <c:pt idx="118">
                  <c:v>1.8063051710523863</c:v>
                </c:pt>
                <c:pt idx="119">
                  <c:v>1.8060375875003323</c:v>
                </c:pt>
                <c:pt idx="120">
                  <c:v>1.8057411535275938</c:v>
                </c:pt>
                <c:pt idx="121">
                  <c:v>1.8054140737838131</c:v>
                </c:pt>
                <c:pt idx="122">
                  <c:v>1.8050543975466666</c:v>
                </c:pt>
                <c:pt idx="123">
                  <c:v>1.8046599982567038</c:v>
                </c:pt>
                <c:pt idx="124">
                  <c:v>1.8042285494996533</c:v>
                </c:pt>
                <c:pt idx="125">
                  <c:v>1.8037574966594518</c:v>
                </c:pt>
                <c:pt idx="126">
                  <c:v>1.8032440232577074</c:v>
                </c:pt>
                <c:pt idx="127">
                  <c:v>1.8026850107213783</c:v>
                </c:pt>
                <c:pt idx="128">
                  <c:v>1.8020769899549185</c:v>
                </c:pt>
                <c:pt idx="129">
                  <c:v>1.801416082600003</c:v>
                </c:pt>
                <c:pt idx="130">
                  <c:v>1.8006979291922005</c:v>
                </c:pt>
                <c:pt idx="131">
                  <c:v>1.7999176004910979</c:v>
                </c:pt>
                <c:pt idx="132">
                  <c:v>1.7990694869496529</c:v>
                </c:pt>
                <c:pt idx="133">
                  <c:v>1.7981471594171983</c:v>
                </c:pt>
                <c:pt idx="134">
                  <c:v>1.797143191450878</c:v>
                </c:pt>
                <c:pt idx="135">
                  <c:v>1.7960489295802033</c:v>
                </c:pt>
                <c:pt idx="136">
                  <c:v>1.7948541917658298</c:v>
                </c:pt>
                <c:pt idx="137">
                  <c:v>1.7935468648224442</c:v>
                </c:pt>
                <c:pt idx="138">
                  <c:v>1.7921123564700701</c:v>
                </c:pt>
                <c:pt idx="139">
                  <c:v>1.7905328328240149</c:v>
                </c:pt>
                <c:pt idx="140">
                  <c:v>1.7887861297523662</c:v>
                </c:pt>
                <c:pt idx="141">
                  <c:v>1.7868441512044213</c:v>
                </c:pt>
                <c:pt idx="142">
                  <c:v>1.7846704270593909</c:v>
                </c:pt>
                <c:pt idx="143">
                  <c:v>1.7822162250994904</c:v>
                </c:pt>
                <c:pt idx="144">
                  <c:v>1.7794140218459682</c:v>
                </c:pt>
                <c:pt idx="145">
                  <c:v>1.7761657698681468</c:v>
                </c:pt>
                <c:pt idx="146">
                  <c:v>1.7723198494207526</c:v>
                </c:pt>
                <c:pt idx="147">
                  <c:v>1.7676198460512011</c:v>
                </c:pt>
                <c:pt idx="148">
                  <c:v>1.7615676270899754</c:v>
                </c:pt>
                <c:pt idx="149">
                  <c:v>1.7529199578608414</c:v>
                </c:pt>
                <c:pt idx="150">
                  <c:v>1.7354342175219235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</c:numCache>
            </c:numRef>
          </c:xVal>
          <c:yVal>
            <c:numRef>
              <c:f>List1!$AB$3:$AB$230</c:f>
              <c:numCache>
                <c:formatCode>General</c:formatCode>
                <c:ptCount val="228"/>
                <c:pt idx="0">
                  <c:v>273</c:v>
                </c:pt>
                <c:pt idx="1">
                  <c:v>274</c:v>
                </c:pt>
                <c:pt idx="2">
                  <c:v>275</c:v>
                </c:pt>
                <c:pt idx="3">
                  <c:v>276</c:v>
                </c:pt>
                <c:pt idx="4">
                  <c:v>277</c:v>
                </c:pt>
                <c:pt idx="5">
                  <c:v>278</c:v>
                </c:pt>
                <c:pt idx="6">
                  <c:v>279</c:v>
                </c:pt>
                <c:pt idx="7">
                  <c:v>280</c:v>
                </c:pt>
                <c:pt idx="8">
                  <c:v>281</c:v>
                </c:pt>
                <c:pt idx="9">
                  <c:v>282</c:v>
                </c:pt>
                <c:pt idx="10">
                  <c:v>283</c:v>
                </c:pt>
                <c:pt idx="11">
                  <c:v>284</c:v>
                </c:pt>
                <c:pt idx="12">
                  <c:v>285</c:v>
                </c:pt>
                <c:pt idx="13">
                  <c:v>286</c:v>
                </c:pt>
                <c:pt idx="14">
                  <c:v>287</c:v>
                </c:pt>
                <c:pt idx="15">
                  <c:v>288</c:v>
                </c:pt>
                <c:pt idx="16">
                  <c:v>289</c:v>
                </c:pt>
                <c:pt idx="17">
                  <c:v>290</c:v>
                </c:pt>
                <c:pt idx="18">
                  <c:v>291</c:v>
                </c:pt>
                <c:pt idx="19">
                  <c:v>292</c:v>
                </c:pt>
                <c:pt idx="20">
                  <c:v>293</c:v>
                </c:pt>
                <c:pt idx="21">
                  <c:v>294</c:v>
                </c:pt>
                <c:pt idx="22">
                  <c:v>295</c:v>
                </c:pt>
                <c:pt idx="23">
                  <c:v>296</c:v>
                </c:pt>
                <c:pt idx="24">
                  <c:v>297</c:v>
                </c:pt>
                <c:pt idx="25">
                  <c:v>298</c:v>
                </c:pt>
                <c:pt idx="26">
                  <c:v>299</c:v>
                </c:pt>
                <c:pt idx="27">
                  <c:v>300</c:v>
                </c:pt>
                <c:pt idx="28">
                  <c:v>301</c:v>
                </c:pt>
                <c:pt idx="29">
                  <c:v>302</c:v>
                </c:pt>
                <c:pt idx="30">
                  <c:v>303</c:v>
                </c:pt>
                <c:pt idx="31">
                  <c:v>304</c:v>
                </c:pt>
                <c:pt idx="32">
                  <c:v>305</c:v>
                </c:pt>
                <c:pt idx="33">
                  <c:v>306</c:v>
                </c:pt>
                <c:pt idx="34">
                  <c:v>307</c:v>
                </c:pt>
                <c:pt idx="35">
                  <c:v>308</c:v>
                </c:pt>
                <c:pt idx="36">
                  <c:v>309</c:v>
                </c:pt>
                <c:pt idx="37">
                  <c:v>310</c:v>
                </c:pt>
                <c:pt idx="38">
                  <c:v>311</c:v>
                </c:pt>
                <c:pt idx="39">
                  <c:v>312</c:v>
                </c:pt>
                <c:pt idx="40">
                  <c:v>313</c:v>
                </c:pt>
                <c:pt idx="41">
                  <c:v>314</c:v>
                </c:pt>
                <c:pt idx="42">
                  <c:v>315</c:v>
                </c:pt>
                <c:pt idx="43">
                  <c:v>316</c:v>
                </c:pt>
                <c:pt idx="44">
                  <c:v>317</c:v>
                </c:pt>
                <c:pt idx="45">
                  <c:v>318</c:v>
                </c:pt>
                <c:pt idx="46">
                  <c:v>319</c:v>
                </c:pt>
                <c:pt idx="47">
                  <c:v>320</c:v>
                </c:pt>
                <c:pt idx="48">
                  <c:v>321</c:v>
                </c:pt>
                <c:pt idx="49">
                  <c:v>322</c:v>
                </c:pt>
                <c:pt idx="50">
                  <c:v>323</c:v>
                </c:pt>
                <c:pt idx="51">
                  <c:v>324</c:v>
                </c:pt>
                <c:pt idx="52">
                  <c:v>325</c:v>
                </c:pt>
                <c:pt idx="53">
                  <c:v>326</c:v>
                </c:pt>
                <c:pt idx="54">
                  <c:v>327</c:v>
                </c:pt>
                <c:pt idx="55">
                  <c:v>328</c:v>
                </c:pt>
                <c:pt idx="56">
                  <c:v>329</c:v>
                </c:pt>
                <c:pt idx="57">
                  <c:v>330</c:v>
                </c:pt>
                <c:pt idx="58">
                  <c:v>331</c:v>
                </c:pt>
                <c:pt idx="59">
                  <c:v>332</c:v>
                </c:pt>
                <c:pt idx="60">
                  <c:v>333</c:v>
                </c:pt>
                <c:pt idx="61">
                  <c:v>334</c:v>
                </c:pt>
                <c:pt idx="62">
                  <c:v>335</c:v>
                </c:pt>
                <c:pt idx="63">
                  <c:v>336</c:v>
                </c:pt>
                <c:pt idx="64">
                  <c:v>337</c:v>
                </c:pt>
                <c:pt idx="65">
                  <c:v>338</c:v>
                </c:pt>
                <c:pt idx="66">
                  <c:v>339</c:v>
                </c:pt>
                <c:pt idx="67">
                  <c:v>340</c:v>
                </c:pt>
                <c:pt idx="68">
                  <c:v>341</c:v>
                </c:pt>
                <c:pt idx="69">
                  <c:v>342</c:v>
                </c:pt>
                <c:pt idx="70">
                  <c:v>343</c:v>
                </c:pt>
                <c:pt idx="71">
                  <c:v>344</c:v>
                </c:pt>
                <c:pt idx="72">
                  <c:v>345</c:v>
                </c:pt>
                <c:pt idx="73">
                  <c:v>346</c:v>
                </c:pt>
                <c:pt idx="74">
                  <c:v>347</c:v>
                </c:pt>
                <c:pt idx="75">
                  <c:v>348</c:v>
                </c:pt>
                <c:pt idx="76">
                  <c:v>349</c:v>
                </c:pt>
                <c:pt idx="77">
                  <c:v>350</c:v>
                </c:pt>
                <c:pt idx="78">
                  <c:v>351</c:v>
                </c:pt>
                <c:pt idx="79">
                  <c:v>352</c:v>
                </c:pt>
                <c:pt idx="80">
                  <c:v>353</c:v>
                </c:pt>
                <c:pt idx="81">
                  <c:v>354</c:v>
                </c:pt>
                <c:pt idx="82">
                  <c:v>355</c:v>
                </c:pt>
                <c:pt idx="83">
                  <c:v>356</c:v>
                </c:pt>
                <c:pt idx="84">
                  <c:v>357</c:v>
                </c:pt>
                <c:pt idx="85">
                  <c:v>358</c:v>
                </c:pt>
                <c:pt idx="86">
                  <c:v>359</c:v>
                </c:pt>
                <c:pt idx="87">
                  <c:v>360</c:v>
                </c:pt>
                <c:pt idx="88">
                  <c:v>361</c:v>
                </c:pt>
                <c:pt idx="89">
                  <c:v>362</c:v>
                </c:pt>
                <c:pt idx="90">
                  <c:v>363</c:v>
                </c:pt>
                <c:pt idx="91">
                  <c:v>364</c:v>
                </c:pt>
                <c:pt idx="92">
                  <c:v>365</c:v>
                </c:pt>
                <c:pt idx="93">
                  <c:v>366</c:v>
                </c:pt>
                <c:pt idx="94">
                  <c:v>367</c:v>
                </c:pt>
                <c:pt idx="95">
                  <c:v>368</c:v>
                </c:pt>
                <c:pt idx="96">
                  <c:v>369</c:v>
                </c:pt>
                <c:pt idx="97">
                  <c:v>370</c:v>
                </c:pt>
                <c:pt idx="98">
                  <c:v>371</c:v>
                </c:pt>
                <c:pt idx="99">
                  <c:v>372</c:v>
                </c:pt>
                <c:pt idx="100">
                  <c:v>373</c:v>
                </c:pt>
                <c:pt idx="101">
                  <c:v>374</c:v>
                </c:pt>
                <c:pt idx="102">
                  <c:v>375</c:v>
                </c:pt>
                <c:pt idx="103">
                  <c:v>376</c:v>
                </c:pt>
                <c:pt idx="104">
                  <c:v>377</c:v>
                </c:pt>
                <c:pt idx="105">
                  <c:v>378</c:v>
                </c:pt>
                <c:pt idx="106">
                  <c:v>379</c:v>
                </c:pt>
                <c:pt idx="107">
                  <c:v>380</c:v>
                </c:pt>
                <c:pt idx="108">
                  <c:v>381</c:v>
                </c:pt>
                <c:pt idx="109">
                  <c:v>382</c:v>
                </c:pt>
                <c:pt idx="110">
                  <c:v>383</c:v>
                </c:pt>
                <c:pt idx="111">
                  <c:v>384</c:v>
                </c:pt>
                <c:pt idx="112">
                  <c:v>385</c:v>
                </c:pt>
                <c:pt idx="113">
                  <c:v>386</c:v>
                </c:pt>
                <c:pt idx="114">
                  <c:v>387</c:v>
                </c:pt>
                <c:pt idx="115">
                  <c:v>388</c:v>
                </c:pt>
                <c:pt idx="116">
                  <c:v>389</c:v>
                </c:pt>
                <c:pt idx="117">
                  <c:v>390</c:v>
                </c:pt>
                <c:pt idx="118">
                  <c:v>391</c:v>
                </c:pt>
                <c:pt idx="119">
                  <c:v>392</c:v>
                </c:pt>
                <c:pt idx="120">
                  <c:v>393</c:v>
                </c:pt>
                <c:pt idx="121">
                  <c:v>394</c:v>
                </c:pt>
                <c:pt idx="122">
                  <c:v>395</c:v>
                </c:pt>
                <c:pt idx="123">
                  <c:v>396</c:v>
                </c:pt>
                <c:pt idx="124">
                  <c:v>397</c:v>
                </c:pt>
                <c:pt idx="125">
                  <c:v>398</c:v>
                </c:pt>
                <c:pt idx="126">
                  <c:v>399</c:v>
                </c:pt>
                <c:pt idx="127">
                  <c:v>400</c:v>
                </c:pt>
                <c:pt idx="128">
                  <c:v>401</c:v>
                </c:pt>
                <c:pt idx="129">
                  <c:v>402</c:v>
                </c:pt>
                <c:pt idx="130">
                  <c:v>403</c:v>
                </c:pt>
                <c:pt idx="131">
                  <c:v>404</c:v>
                </c:pt>
                <c:pt idx="132">
                  <c:v>405</c:v>
                </c:pt>
                <c:pt idx="133">
                  <c:v>406</c:v>
                </c:pt>
                <c:pt idx="134">
                  <c:v>407</c:v>
                </c:pt>
                <c:pt idx="135">
                  <c:v>408</c:v>
                </c:pt>
                <c:pt idx="136">
                  <c:v>409</c:v>
                </c:pt>
                <c:pt idx="137">
                  <c:v>410</c:v>
                </c:pt>
                <c:pt idx="138">
                  <c:v>411</c:v>
                </c:pt>
                <c:pt idx="139">
                  <c:v>412</c:v>
                </c:pt>
                <c:pt idx="140">
                  <c:v>413</c:v>
                </c:pt>
                <c:pt idx="141">
                  <c:v>414</c:v>
                </c:pt>
                <c:pt idx="142">
                  <c:v>415</c:v>
                </c:pt>
                <c:pt idx="143">
                  <c:v>416</c:v>
                </c:pt>
                <c:pt idx="144">
                  <c:v>417</c:v>
                </c:pt>
                <c:pt idx="145">
                  <c:v>418</c:v>
                </c:pt>
                <c:pt idx="146">
                  <c:v>419</c:v>
                </c:pt>
                <c:pt idx="147">
                  <c:v>420</c:v>
                </c:pt>
                <c:pt idx="148">
                  <c:v>421</c:v>
                </c:pt>
                <c:pt idx="149">
                  <c:v>422</c:v>
                </c:pt>
                <c:pt idx="150">
                  <c:v>423</c:v>
                </c:pt>
                <c:pt idx="151">
                  <c:v>424</c:v>
                </c:pt>
                <c:pt idx="152">
                  <c:v>425</c:v>
                </c:pt>
                <c:pt idx="153">
                  <c:v>426</c:v>
                </c:pt>
                <c:pt idx="154">
                  <c:v>427</c:v>
                </c:pt>
                <c:pt idx="155">
                  <c:v>428</c:v>
                </c:pt>
                <c:pt idx="156">
                  <c:v>429</c:v>
                </c:pt>
                <c:pt idx="157">
                  <c:v>430</c:v>
                </c:pt>
                <c:pt idx="158">
                  <c:v>431</c:v>
                </c:pt>
                <c:pt idx="159">
                  <c:v>432</c:v>
                </c:pt>
                <c:pt idx="160">
                  <c:v>433</c:v>
                </c:pt>
                <c:pt idx="161">
                  <c:v>434</c:v>
                </c:pt>
                <c:pt idx="162">
                  <c:v>435</c:v>
                </c:pt>
                <c:pt idx="163">
                  <c:v>436</c:v>
                </c:pt>
                <c:pt idx="164">
                  <c:v>437</c:v>
                </c:pt>
                <c:pt idx="165">
                  <c:v>438</c:v>
                </c:pt>
                <c:pt idx="166">
                  <c:v>439</c:v>
                </c:pt>
                <c:pt idx="167">
                  <c:v>440</c:v>
                </c:pt>
                <c:pt idx="168">
                  <c:v>441</c:v>
                </c:pt>
                <c:pt idx="169">
                  <c:v>442</c:v>
                </c:pt>
                <c:pt idx="170">
                  <c:v>443</c:v>
                </c:pt>
                <c:pt idx="171">
                  <c:v>444</c:v>
                </c:pt>
                <c:pt idx="172">
                  <c:v>445</c:v>
                </c:pt>
                <c:pt idx="173">
                  <c:v>446</c:v>
                </c:pt>
                <c:pt idx="174">
                  <c:v>447</c:v>
                </c:pt>
                <c:pt idx="175">
                  <c:v>448</c:v>
                </c:pt>
                <c:pt idx="176">
                  <c:v>449</c:v>
                </c:pt>
                <c:pt idx="177">
                  <c:v>450</c:v>
                </c:pt>
                <c:pt idx="178">
                  <c:v>451</c:v>
                </c:pt>
                <c:pt idx="179">
                  <c:v>452</c:v>
                </c:pt>
                <c:pt idx="180">
                  <c:v>453</c:v>
                </c:pt>
                <c:pt idx="181">
                  <c:v>454</c:v>
                </c:pt>
                <c:pt idx="182">
                  <c:v>455</c:v>
                </c:pt>
                <c:pt idx="183">
                  <c:v>456</c:v>
                </c:pt>
                <c:pt idx="184">
                  <c:v>457</c:v>
                </c:pt>
                <c:pt idx="185">
                  <c:v>458</c:v>
                </c:pt>
                <c:pt idx="186">
                  <c:v>459</c:v>
                </c:pt>
                <c:pt idx="187">
                  <c:v>460</c:v>
                </c:pt>
                <c:pt idx="188">
                  <c:v>461</c:v>
                </c:pt>
                <c:pt idx="189">
                  <c:v>462</c:v>
                </c:pt>
                <c:pt idx="190">
                  <c:v>463</c:v>
                </c:pt>
                <c:pt idx="191">
                  <c:v>464</c:v>
                </c:pt>
                <c:pt idx="192">
                  <c:v>465</c:v>
                </c:pt>
                <c:pt idx="193">
                  <c:v>466</c:v>
                </c:pt>
                <c:pt idx="194">
                  <c:v>467</c:v>
                </c:pt>
                <c:pt idx="195">
                  <c:v>468</c:v>
                </c:pt>
                <c:pt idx="196">
                  <c:v>469</c:v>
                </c:pt>
                <c:pt idx="197">
                  <c:v>470</c:v>
                </c:pt>
                <c:pt idx="198">
                  <c:v>471</c:v>
                </c:pt>
                <c:pt idx="199">
                  <c:v>472</c:v>
                </c:pt>
                <c:pt idx="200">
                  <c:v>473</c:v>
                </c:pt>
                <c:pt idx="201">
                  <c:v>474</c:v>
                </c:pt>
                <c:pt idx="202">
                  <c:v>475</c:v>
                </c:pt>
                <c:pt idx="203">
                  <c:v>476</c:v>
                </c:pt>
                <c:pt idx="204">
                  <c:v>477</c:v>
                </c:pt>
                <c:pt idx="205">
                  <c:v>478</c:v>
                </c:pt>
                <c:pt idx="206">
                  <c:v>479</c:v>
                </c:pt>
                <c:pt idx="207">
                  <c:v>480</c:v>
                </c:pt>
                <c:pt idx="208">
                  <c:v>481</c:v>
                </c:pt>
                <c:pt idx="209">
                  <c:v>482</c:v>
                </c:pt>
                <c:pt idx="210">
                  <c:v>483</c:v>
                </c:pt>
                <c:pt idx="211">
                  <c:v>484</c:v>
                </c:pt>
                <c:pt idx="212">
                  <c:v>485</c:v>
                </c:pt>
                <c:pt idx="213">
                  <c:v>486</c:v>
                </c:pt>
                <c:pt idx="214">
                  <c:v>487</c:v>
                </c:pt>
                <c:pt idx="215">
                  <c:v>488</c:v>
                </c:pt>
                <c:pt idx="216">
                  <c:v>489</c:v>
                </c:pt>
                <c:pt idx="217">
                  <c:v>490</c:v>
                </c:pt>
                <c:pt idx="218">
                  <c:v>491</c:v>
                </c:pt>
                <c:pt idx="219">
                  <c:v>492</c:v>
                </c:pt>
                <c:pt idx="220">
                  <c:v>493</c:v>
                </c:pt>
                <c:pt idx="221">
                  <c:v>494</c:v>
                </c:pt>
                <c:pt idx="222">
                  <c:v>495</c:v>
                </c:pt>
                <c:pt idx="223">
                  <c:v>496</c:v>
                </c:pt>
                <c:pt idx="224">
                  <c:v>497</c:v>
                </c:pt>
                <c:pt idx="225">
                  <c:v>498</c:v>
                </c:pt>
                <c:pt idx="226">
                  <c:v>499</c:v>
                </c:pt>
                <c:pt idx="227">
                  <c:v>500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6E5E-4FEE-A151-3081192B650F}"/>
            </c:ext>
          </c:extLst>
        </c:ser>
        <c:ser>
          <c:idx val="1"/>
          <c:order val="7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List1!$Z$3:$Z$230</c:f>
              <c:numCache>
                <c:formatCode>General</c:formatCode>
                <c:ptCount val="228"/>
                <c:pt idx="0">
                  <c:v>0.99933750803187538</c:v>
                </c:pt>
                <c:pt idx="1">
                  <c:v>1.0037510541902286</c:v>
                </c:pt>
                <c:pt idx="2">
                  <c:v>1.0081574469463552</c:v>
                </c:pt>
                <c:pt idx="3">
                  <c:v>1.0125567869867032</c:v>
                </c:pt>
                <c:pt idx="4">
                  <c:v>1.0169491737537726</c:v>
                </c:pt>
                <c:pt idx="5">
                  <c:v>1.0213347054834505</c:v>
                </c:pt>
                <c:pt idx="6">
                  <c:v>1.0257134792422344</c:v>
                </c:pt>
                <c:pt idx="7">
                  <c:v>1.0300855909643647</c:v>
                </c:pt>
                <c:pt idx="8">
                  <c:v>1.0344511354888841</c:v>
                </c:pt>
                <c:pt idx="9">
                  <c:v>1.0388102065966591</c:v>
                </c:pt>
                <c:pt idx="10">
                  <c:v>1.0431628970473807</c:v>
                </c:pt>
                <c:pt idx="11">
                  <c:v>1.0475092986165733</c:v>
                </c:pt>
                <c:pt idx="12">
                  <c:v>1.0518495021326333</c:v>
                </c:pt>
                <c:pt idx="13">
                  <c:v>1.056183597513938</c:v>
                </c:pt>
                <c:pt idx="14">
                  <c:v>1.0605116738060301</c:v>
                </c:pt>
                <c:pt idx="15">
                  <c:v>1.0648338192189284</c:v>
                </c:pt>
                <c:pt idx="16">
                  <c:v>1.0691501211645844</c:v>
                </c:pt>
                <c:pt idx="17">
                  <c:v>1.0734606662945034</c:v>
                </c:pt>
                <c:pt idx="18">
                  <c:v>1.0777655405375866</c:v>
                </c:pt>
                <c:pt idx="19">
                  <c:v>1.0820648291382045</c:v>
                </c:pt>
                <c:pt idx="20">
                  <c:v>1.0863586166945358</c:v>
                </c:pt>
                <c:pt idx="21">
                  <c:v>1.0906469871972169</c:v>
                </c:pt>
                <c:pt idx="22">
                  <c:v>1.09493002406833</c:v>
                </c:pt>
                <c:pt idx="23">
                  <c:v>1.0992078102007585</c:v>
                </c:pt>
                <c:pt idx="24">
                  <c:v>1.1034804279979595</c:v>
                </c:pt>
                <c:pt idx="25">
                  <c:v>1.1077479594141759</c:v>
                </c:pt>
                <c:pt idx="26">
                  <c:v>1.1120104859951427</c:v>
                </c:pt>
                <c:pt idx="27">
                  <c:v>1.1162680889193144</c:v>
                </c:pt>
                <c:pt idx="28">
                  <c:v>1.1205208490396701</c:v>
                </c:pt>
                <c:pt idx="29">
                  <c:v>1.1247688469261143</c:v>
                </c:pt>
                <c:pt idx="30">
                  <c:v>1.1290121629085541</c:v>
                </c:pt>
                <c:pt idx="31">
                  <c:v>1.1332508771206595</c:v>
                </c:pt>
                <c:pt idx="32">
                  <c:v>1.137485069544391</c:v>
                </c:pt>
                <c:pt idx="33">
                  <c:v>1.1417148200553242</c:v>
                </c:pt>
                <c:pt idx="34">
                  <c:v>1.1459402084688166</c:v>
                </c:pt>
                <c:pt idx="35">
                  <c:v>1.1501613145871008</c:v>
                </c:pt>
                <c:pt idx="36">
                  <c:v>1.1543782182473301</c:v>
                </c:pt>
                <c:pt idx="37">
                  <c:v>1.1585909993706511</c:v>
                </c:pt>
                <c:pt idx="38">
                  <c:v>1.162799738012368</c:v>
                </c:pt>
                <c:pt idx="39">
                  <c:v>1.1670045144132419</c:v>
                </c:pt>
                <c:pt idx="40">
                  <c:v>1.1712054090520343</c:v>
                </c:pt>
                <c:pt idx="41">
                  <c:v>1.1754025026993127</c:v>
                </c:pt>
                <c:pt idx="42">
                  <c:v>1.1795958764726386</c:v>
                </c:pt>
                <c:pt idx="43">
                  <c:v>1.1837856118931964</c:v>
                </c:pt>
                <c:pt idx="44">
                  <c:v>1.1879717909439451</c:v>
                </c:pt>
                <c:pt idx="45">
                  <c:v>1.1921544961293784</c:v>
                </c:pt>
                <c:pt idx="46">
                  <c:v>1.1963338105369987</c:v>
                </c:pt>
                <c:pt idx="47">
                  <c:v>1.2005098179005853</c:v>
                </c:pt>
                <c:pt idx="48">
                  <c:v>1.2046826026653634</c:v>
                </c:pt>
                <c:pt idx="49">
                  <c:v>1.2088522500551975</c:v>
                </c:pt>
                <c:pt idx="50">
                  <c:v>1.21301884614189</c:v>
                </c:pt>
                <c:pt idx="51">
                  <c:v>1.2171824779167402</c:v>
                </c:pt>
                <c:pt idx="52">
                  <c:v>1.221343233364478</c:v>
                </c:pt>
                <c:pt idx="53">
                  <c:v>1.2255012015397022</c:v>
                </c:pt>
                <c:pt idx="54">
                  <c:v>1.2296564726459698</c:v>
                </c:pt>
                <c:pt idx="55">
                  <c:v>1.2338091381177108</c:v>
                </c:pt>
                <c:pt idx="56">
                  <c:v>1.2379592907051005</c:v>
                </c:pt>
                <c:pt idx="57">
                  <c:v>1.2421070245620878</c:v>
                </c:pt>
                <c:pt idx="58">
                  <c:v>1.2462524353377551</c:v>
                </c:pt>
                <c:pt idx="59">
                  <c:v>1.2503956202712037</c:v>
                </c:pt>
                <c:pt idx="60">
                  <c:v>1.2545366782901983</c:v>
                </c:pt>
                <c:pt idx="61">
                  <c:v>1.2586757101137678</c:v>
                </c:pt>
                <c:pt idx="62">
                  <c:v>1.2628128183590315</c:v>
                </c:pt>
                <c:pt idx="63">
                  <c:v>1.2669481076524887</c:v>
                </c:pt>
                <c:pt idx="64">
                  <c:v>1.2710816847460729</c:v>
                </c:pt>
                <c:pt idx="65">
                  <c:v>1.2752136586382534</c:v>
                </c:pt>
                <c:pt idx="66">
                  <c:v>1.2793441407005086</c:v>
                </c:pt>
                <c:pt idx="67">
                  <c:v>1.2834732448095265</c:v>
                </c:pt>
                <c:pt idx="68">
                  <c:v>1.2876010874854906</c:v>
                </c:pt>
                <c:pt idx="69">
                  <c:v>1.2917277880368716</c:v>
                </c:pt>
                <c:pt idx="70">
                  <c:v>1.2958534687121326</c:v>
                </c:pt>
                <c:pt idx="71">
                  <c:v>1.2999782548588341</c:v>
                </c:pt>
                <c:pt idx="72">
                  <c:v>1.3041022750906464</c:v>
                </c:pt>
                <c:pt idx="73">
                  <c:v>1.3082256614627878</c:v>
                </c:pt>
                <c:pt idx="74">
                  <c:v>1.3123485496565237</c:v>
                </c:pt>
                <c:pt idx="75">
                  <c:v>1.3164710791733187</c:v>
                </c:pt>
                <c:pt idx="76">
                  <c:v>1.3205933935393857</c:v>
                </c:pt>
                <c:pt idx="77">
                  <c:v>1.3247156405213483</c:v>
                </c:pt>
                <c:pt idx="78">
                  <c:v>1.328837972353859</c:v>
                </c:pt>
                <c:pt idx="79">
                  <c:v>1.3329605459800713</c:v>
                </c:pt>
                <c:pt idx="80">
                  <c:v>1.3370835233059348</c:v>
                </c:pt>
                <c:pt idx="81">
                  <c:v>1.3412070714693707</c:v>
                </c:pt>
                <c:pt idx="82">
                  <c:v>1.3453313631255299</c:v>
                </c:pt>
                <c:pt idx="83">
                  <c:v>1.3494565767493525</c:v>
                </c:pt>
                <c:pt idx="84">
                  <c:v>1.3535828969568919</c:v>
                </c:pt>
                <c:pt idx="85">
                  <c:v>1.35771051484688</c:v>
                </c:pt>
                <c:pt idx="86">
                  <c:v>1.3618396283642797</c:v>
                </c:pt>
                <c:pt idx="87">
                  <c:v>1.3659704426876282</c:v>
                </c:pt>
                <c:pt idx="88">
                  <c:v>1.3701031706422697</c:v>
                </c:pt>
                <c:pt idx="89">
                  <c:v>1.3742380331417083</c:v>
                </c:pt>
                <c:pt idx="90">
                  <c:v>1.3783752596596175</c:v>
                </c:pt>
                <c:pt idx="91">
                  <c:v>1.3825150887352546</c:v>
                </c:pt>
                <c:pt idx="92">
                  <c:v>1.3866577685153931</c:v>
                </c:pt>
                <c:pt idx="93">
                  <c:v>1.3908035573361905</c:v>
                </c:pt>
                <c:pt idx="94">
                  <c:v>1.3949527243488165</c:v>
                </c:pt>
                <c:pt idx="95">
                  <c:v>1.3991055501931324</c:v>
                </c:pt>
                <c:pt idx="96">
                  <c:v>1.4032623277241805</c:v>
                </c:pt>
                <c:pt idx="97">
                  <c:v>1.4074233627968731</c:v>
                </c:pt>
                <c:pt idx="98">
                  <c:v>1.411588975114888</c:v>
                </c:pt>
                <c:pt idx="99">
                  <c:v>1.4157594991505864</c:v>
                </c:pt>
                <c:pt idx="100">
                  <c:v>1.419935285143616</c:v>
                </c:pt>
                <c:pt idx="101">
                  <c:v>1.4241167001868922</c:v>
                </c:pt>
                <c:pt idx="102">
                  <c:v>1.4283041294098053</c:v>
                </c:pt>
                <c:pt idx="103">
                  <c:v>1.4324979772699176</c:v>
                </c:pt>
                <c:pt idx="104">
                  <c:v>1.4366986689659023</c:v>
                </c:pt>
                <c:pt idx="105">
                  <c:v>1.440906651986452</c:v>
                </c:pt>
                <c:pt idx="106">
                  <c:v>1.4451223978119332</c:v>
                </c:pt>
                <c:pt idx="107">
                  <c:v>1.449346403788218</c:v>
                </c:pt>
                <c:pt idx="108">
                  <c:v>1.4535791951950536</c:v>
                </c:pt>
                <c:pt idx="109">
                  <c:v>1.4578213275349745</c:v>
                </c:pt>
                <c:pt idx="110">
                  <c:v>1.4620733890729036</c:v>
                </c:pt>
                <c:pt idx="111">
                  <c:v>1.4663360036617745</c:v>
                </c:pt>
                <c:pt idx="112">
                  <c:v>1.4706098338954587</c:v>
                </c:pt>
                <c:pt idx="113">
                  <c:v>1.474895584637653</c:v>
                </c:pt>
                <c:pt idx="114">
                  <c:v>1.479194006984214</c:v>
                </c:pt>
                <c:pt idx="115">
                  <c:v>1.483505902727154</c:v>
                </c:pt>
                <c:pt idx="116">
                  <c:v>1.4878321294016441</c:v>
                </c:pt>
                <c:pt idx="117">
                  <c:v>1.4921736060134758</c:v>
                </c:pt>
                <c:pt idx="118">
                  <c:v>1.4965313195643735</c:v>
                </c:pt>
                <c:pt idx="119">
                  <c:v>1.5009063325172616</c:v>
                </c:pt>
                <c:pt idx="120">
                  <c:v>1.5052997913744903</c:v>
                </c:pt>
                <c:pt idx="121">
                  <c:v>1.5097129365810258</c:v>
                </c:pt>
                <c:pt idx="122">
                  <c:v>1.5141471140138481</c:v>
                </c:pt>
                <c:pt idx="123">
                  <c:v>1.5186037883818886</c:v>
                </c:pt>
                <c:pt idx="124">
                  <c:v>1.5230845589418947</c:v>
                </c:pt>
                <c:pt idx="125">
                  <c:v>1.5275911780409277</c:v>
                </c:pt>
                <c:pt idx="126">
                  <c:v>1.5321255731341883</c:v>
                </c:pt>
                <c:pt idx="127">
                  <c:v>1.5366898731094545</c:v>
                </c:pt>
                <c:pt idx="128">
                  <c:v>1.5412864399935966</c:v>
                </c:pt>
                <c:pt idx="129">
                  <c:v>1.5459179074469842</c:v>
                </c:pt>
                <c:pt idx="130">
                  <c:v>1.5505872279040966</c:v>
                </c:pt>
                <c:pt idx="131">
                  <c:v>1.5552977308468523</c:v>
                </c:pt>
                <c:pt idx="132">
                  <c:v>1.5600531955822867</c:v>
                </c:pt>
                <c:pt idx="133">
                  <c:v>1.5648579431638252</c:v>
                </c:pt>
                <c:pt idx="134">
                  <c:v>1.5697169539429978</c:v>
                </c:pt>
                <c:pt idx="135">
                  <c:v>1.5746360199856262</c:v>
                </c:pt>
                <c:pt idx="136">
                  <c:v>1.5796219457612481</c:v>
                </c:pt>
                <c:pt idx="137">
                  <c:v>1.5846828170168168</c:v>
                </c:pt>
                <c:pt idx="138">
                  <c:v>1.5898283681572019</c:v>
                </c:pt>
                <c:pt idx="139">
                  <c:v>1.5950704956587931</c:v>
                </c:pt>
                <c:pt idx="140">
                  <c:v>1.6004239945144025</c:v>
                </c:pt>
                <c:pt idx="141">
                  <c:v>1.6059076473533009</c:v>
                </c:pt>
                <c:pt idx="142">
                  <c:v>1.6115458946591248</c:v>
                </c:pt>
                <c:pt idx="143">
                  <c:v>1.6173715110423796</c:v>
                </c:pt>
                <c:pt idx="144">
                  <c:v>1.6234301324803364</c:v>
                </c:pt>
                <c:pt idx="145">
                  <c:v>1.6297884603510737</c:v>
                </c:pt>
                <c:pt idx="146">
                  <c:v>1.6365505379899989</c:v>
                </c:pt>
                <c:pt idx="147">
                  <c:v>1.6438943588833816</c:v>
                </c:pt>
                <c:pt idx="148">
                  <c:v>1.6521712238530954</c:v>
                </c:pt>
                <c:pt idx="149">
                  <c:v>1.6622788866972777</c:v>
                </c:pt>
                <c:pt idx="150">
                  <c:v>1.6789542324502407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</c:numCache>
            </c:numRef>
          </c:xVal>
          <c:yVal>
            <c:numRef>
              <c:f>List1!$AB$3:$AB$230</c:f>
              <c:numCache>
                <c:formatCode>General</c:formatCode>
                <c:ptCount val="228"/>
                <c:pt idx="0">
                  <c:v>273</c:v>
                </c:pt>
                <c:pt idx="1">
                  <c:v>274</c:v>
                </c:pt>
                <c:pt idx="2">
                  <c:v>275</c:v>
                </c:pt>
                <c:pt idx="3">
                  <c:v>276</c:v>
                </c:pt>
                <c:pt idx="4">
                  <c:v>277</c:v>
                </c:pt>
                <c:pt idx="5">
                  <c:v>278</c:v>
                </c:pt>
                <c:pt idx="6">
                  <c:v>279</c:v>
                </c:pt>
                <c:pt idx="7">
                  <c:v>280</c:v>
                </c:pt>
                <c:pt idx="8">
                  <c:v>281</c:v>
                </c:pt>
                <c:pt idx="9">
                  <c:v>282</c:v>
                </c:pt>
                <c:pt idx="10">
                  <c:v>283</c:v>
                </c:pt>
                <c:pt idx="11">
                  <c:v>284</c:v>
                </c:pt>
                <c:pt idx="12">
                  <c:v>285</c:v>
                </c:pt>
                <c:pt idx="13">
                  <c:v>286</c:v>
                </c:pt>
                <c:pt idx="14">
                  <c:v>287</c:v>
                </c:pt>
                <c:pt idx="15">
                  <c:v>288</c:v>
                </c:pt>
                <c:pt idx="16">
                  <c:v>289</c:v>
                </c:pt>
                <c:pt idx="17">
                  <c:v>290</c:v>
                </c:pt>
                <c:pt idx="18">
                  <c:v>291</c:v>
                </c:pt>
                <c:pt idx="19">
                  <c:v>292</c:v>
                </c:pt>
                <c:pt idx="20">
                  <c:v>293</c:v>
                </c:pt>
                <c:pt idx="21">
                  <c:v>294</c:v>
                </c:pt>
                <c:pt idx="22">
                  <c:v>295</c:v>
                </c:pt>
                <c:pt idx="23">
                  <c:v>296</c:v>
                </c:pt>
                <c:pt idx="24">
                  <c:v>297</c:v>
                </c:pt>
                <c:pt idx="25">
                  <c:v>298</c:v>
                </c:pt>
                <c:pt idx="26">
                  <c:v>299</c:v>
                </c:pt>
                <c:pt idx="27">
                  <c:v>300</c:v>
                </c:pt>
                <c:pt idx="28">
                  <c:v>301</c:v>
                </c:pt>
                <c:pt idx="29">
                  <c:v>302</c:v>
                </c:pt>
                <c:pt idx="30">
                  <c:v>303</c:v>
                </c:pt>
                <c:pt idx="31">
                  <c:v>304</c:v>
                </c:pt>
                <c:pt idx="32">
                  <c:v>305</c:v>
                </c:pt>
                <c:pt idx="33">
                  <c:v>306</c:v>
                </c:pt>
                <c:pt idx="34">
                  <c:v>307</c:v>
                </c:pt>
                <c:pt idx="35">
                  <c:v>308</c:v>
                </c:pt>
                <c:pt idx="36">
                  <c:v>309</c:v>
                </c:pt>
                <c:pt idx="37">
                  <c:v>310</c:v>
                </c:pt>
                <c:pt idx="38">
                  <c:v>311</c:v>
                </c:pt>
                <c:pt idx="39">
                  <c:v>312</c:v>
                </c:pt>
                <c:pt idx="40">
                  <c:v>313</c:v>
                </c:pt>
                <c:pt idx="41">
                  <c:v>314</c:v>
                </c:pt>
                <c:pt idx="42">
                  <c:v>315</c:v>
                </c:pt>
                <c:pt idx="43">
                  <c:v>316</c:v>
                </c:pt>
                <c:pt idx="44">
                  <c:v>317</c:v>
                </c:pt>
                <c:pt idx="45">
                  <c:v>318</c:v>
                </c:pt>
                <c:pt idx="46">
                  <c:v>319</c:v>
                </c:pt>
                <c:pt idx="47">
                  <c:v>320</c:v>
                </c:pt>
                <c:pt idx="48">
                  <c:v>321</c:v>
                </c:pt>
                <c:pt idx="49">
                  <c:v>322</c:v>
                </c:pt>
                <c:pt idx="50">
                  <c:v>323</c:v>
                </c:pt>
                <c:pt idx="51">
                  <c:v>324</c:v>
                </c:pt>
                <c:pt idx="52">
                  <c:v>325</c:v>
                </c:pt>
                <c:pt idx="53">
                  <c:v>326</c:v>
                </c:pt>
                <c:pt idx="54">
                  <c:v>327</c:v>
                </c:pt>
                <c:pt idx="55">
                  <c:v>328</c:v>
                </c:pt>
                <c:pt idx="56">
                  <c:v>329</c:v>
                </c:pt>
                <c:pt idx="57">
                  <c:v>330</c:v>
                </c:pt>
                <c:pt idx="58">
                  <c:v>331</c:v>
                </c:pt>
                <c:pt idx="59">
                  <c:v>332</c:v>
                </c:pt>
                <c:pt idx="60">
                  <c:v>333</c:v>
                </c:pt>
                <c:pt idx="61">
                  <c:v>334</c:v>
                </c:pt>
                <c:pt idx="62">
                  <c:v>335</c:v>
                </c:pt>
                <c:pt idx="63">
                  <c:v>336</c:v>
                </c:pt>
                <c:pt idx="64">
                  <c:v>337</c:v>
                </c:pt>
                <c:pt idx="65">
                  <c:v>338</c:v>
                </c:pt>
                <c:pt idx="66">
                  <c:v>339</c:v>
                </c:pt>
                <c:pt idx="67">
                  <c:v>340</c:v>
                </c:pt>
                <c:pt idx="68">
                  <c:v>341</c:v>
                </c:pt>
                <c:pt idx="69">
                  <c:v>342</c:v>
                </c:pt>
                <c:pt idx="70">
                  <c:v>343</c:v>
                </c:pt>
                <c:pt idx="71">
                  <c:v>344</c:v>
                </c:pt>
                <c:pt idx="72">
                  <c:v>345</c:v>
                </c:pt>
                <c:pt idx="73">
                  <c:v>346</c:v>
                </c:pt>
                <c:pt idx="74">
                  <c:v>347</c:v>
                </c:pt>
                <c:pt idx="75">
                  <c:v>348</c:v>
                </c:pt>
                <c:pt idx="76">
                  <c:v>349</c:v>
                </c:pt>
                <c:pt idx="77">
                  <c:v>350</c:v>
                </c:pt>
                <c:pt idx="78">
                  <c:v>351</c:v>
                </c:pt>
                <c:pt idx="79">
                  <c:v>352</c:v>
                </c:pt>
                <c:pt idx="80">
                  <c:v>353</c:v>
                </c:pt>
                <c:pt idx="81">
                  <c:v>354</c:v>
                </c:pt>
                <c:pt idx="82">
                  <c:v>355</c:v>
                </c:pt>
                <c:pt idx="83">
                  <c:v>356</c:v>
                </c:pt>
                <c:pt idx="84">
                  <c:v>357</c:v>
                </c:pt>
                <c:pt idx="85">
                  <c:v>358</c:v>
                </c:pt>
                <c:pt idx="86">
                  <c:v>359</c:v>
                </c:pt>
                <c:pt idx="87">
                  <c:v>360</c:v>
                </c:pt>
                <c:pt idx="88">
                  <c:v>361</c:v>
                </c:pt>
                <c:pt idx="89">
                  <c:v>362</c:v>
                </c:pt>
                <c:pt idx="90">
                  <c:v>363</c:v>
                </c:pt>
                <c:pt idx="91">
                  <c:v>364</c:v>
                </c:pt>
                <c:pt idx="92">
                  <c:v>365</c:v>
                </c:pt>
                <c:pt idx="93">
                  <c:v>366</c:v>
                </c:pt>
                <c:pt idx="94">
                  <c:v>367</c:v>
                </c:pt>
                <c:pt idx="95">
                  <c:v>368</c:v>
                </c:pt>
                <c:pt idx="96">
                  <c:v>369</c:v>
                </c:pt>
                <c:pt idx="97">
                  <c:v>370</c:v>
                </c:pt>
                <c:pt idx="98">
                  <c:v>371</c:v>
                </c:pt>
                <c:pt idx="99">
                  <c:v>372</c:v>
                </c:pt>
                <c:pt idx="100">
                  <c:v>373</c:v>
                </c:pt>
                <c:pt idx="101">
                  <c:v>374</c:v>
                </c:pt>
                <c:pt idx="102">
                  <c:v>375</c:v>
                </c:pt>
                <c:pt idx="103">
                  <c:v>376</c:v>
                </c:pt>
                <c:pt idx="104">
                  <c:v>377</c:v>
                </c:pt>
                <c:pt idx="105">
                  <c:v>378</c:v>
                </c:pt>
                <c:pt idx="106">
                  <c:v>379</c:v>
                </c:pt>
                <c:pt idx="107">
                  <c:v>380</c:v>
                </c:pt>
                <c:pt idx="108">
                  <c:v>381</c:v>
                </c:pt>
                <c:pt idx="109">
                  <c:v>382</c:v>
                </c:pt>
                <c:pt idx="110">
                  <c:v>383</c:v>
                </c:pt>
                <c:pt idx="111">
                  <c:v>384</c:v>
                </c:pt>
                <c:pt idx="112">
                  <c:v>385</c:v>
                </c:pt>
                <c:pt idx="113">
                  <c:v>386</c:v>
                </c:pt>
                <c:pt idx="114">
                  <c:v>387</c:v>
                </c:pt>
                <c:pt idx="115">
                  <c:v>388</c:v>
                </c:pt>
                <c:pt idx="116">
                  <c:v>389</c:v>
                </c:pt>
                <c:pt idx="117">
                  <c:v>390</c:v>
                </c:pt>
                <c:pt idx="118">
                  <c:v>391</c:v>
                </c:pt>
                <c:pt idx="119">
                  <c:v>392</c:v>
                </c:pt>
                <c:pt idx="120">
                  <c:v>393</c:v>
                </c:pt>
                <c:pt idx="121">
                  <c:v>394</c:v>
                </c:pt>
                <c:pt idx="122">
                  <c:v>395</c:v>
                </c:pt>
                <c:pt idx="123">
                  <c:v>396</c:v>
                </c:pt>
                <c:pt idx="124">
                  <c:v>397</c:v>
                </c:pt>
                <c:pt idx="125">
                  <c:v>398</c:v>
                </c:pt>
                <c:pt idx="126">
                  <c:v>399</c:v>
                </c:pt>
                <c:pt idx="127">
                  <c:v>400</c:v>
                </c:pt>
                <c:pt idx="128">
                  <c:v>401</c:v>
                </c:pt>
                <c:pt idx="129">
                  <c:v>402</c:v>
                </c:pt>
                <c:pt idx="130">
                  <c:v>403</c:v>
                </c:pt>
                <c:pt idx="131">
                  <c:v>404</c:v>
                </c:pt>
                <c:pt idx="132">
                  <c:v>405</c:v>
                </c:pt>
                <c:pt idx="133">
                  <c:v>406</c:v>
                </c:pt>
                <c:pt idx="134">
                  <c:v>407</c:v>
                </c:pt>
                <c:pt idx="135">
                  <c:v>408</c:v>
                </c:pt>
                <c:pt idx="136">
                  <c:v>409</c:v>
                </c:pt>
                <c:pt idx="137">
                  <c:v>410</c:v>
                </c:pt>
                <c:pt idx="138">
                  <c:v>411</c:v>
                </c:pt>
                <c:pt idx="139">
                  <c:v>412</c:v>
                </c:pt>
                <c:pt idx="140">
                  <c:v>413</c:v>
                </c:pt>
                <c:pt idx="141">
                  <c:v>414</c:v>
                </c:pt>
                <c:pt idx="142">
                  <c:v>415</c:v>
                </c:pt>
                <c:pt idx="143">
                  <c:v>416</c:v>
                </c:pt>
                <c:pt idx="144">
                  <c:v>417</c:v>
                </c:pt>
                <c:pt idx="145">
                  <c:v>418</c:v>
                </c:pt>
                <c:pt idx="146">
                  <c:v>419</c:v>
                </c:pt>
                <c:pt idx="147">
                  <c:v>420</c:v>
                </c:pt>
                <c:pt idx="148">
                  <c:v>421</c:v>
                </c:pt>
                <c:pt idx="149">
                  <c:v>422</c:v>
                </c:pt>
                <c:pt idx="150">
                  <c:v>423</c:v>
                </c:pt>
                <c:pt idx="151">
                  <c:v>424</c:v>
                </c:pt>
                <c:pt idx="152">
                  <c:v>425</c:v>
                </c:pt>
                <c:pt idx="153">
                  <c:v>426</c:v>
                </c:pt>
                <c:pt idx="154">
                  <c:v>427</c:v>
                </c:pt>
                <c:pt idx="155">
                  <c:v>428</c:v>
                </c:pt>
                <c:pt idx="156">
                  <c:v>429</c:v>
                </c:pt>
                <c:pt idx="157">
                  <c:v>430</c:v>
                </c:pt>
                <c:pt idx="158">
                  <c:v>431</c:v>
                </c:pt>
                <c:pt idx="159">
                  <c:v>432</c:v>
                </c:pt>
                <c:pt idx="160">
                  <c:v>433</c:v>
                </c:pt>
                <c:pt idx="161">
                  <c:v>434</c:v>
                </c:pt>
                <c:pt idx="162">
                  <c:v>435</c:v>
                </c:pt>
                <c:pt idx="163">
                  <c:v>436</c:v>
                </c:pt>
                <c:pt idx="164">
                  <c:v>437</c:v>
                </c:pt>
                <c:pt idx="165">
                  <c:v>438</c:v>
                </c:pt>
                <c:pt idx="166">
                  <c:v>439</c:v>
                </c:pt>
                <c:pt idx="167">
                  <c:v>440</c:v>
                </c:pt>
                <c:pt idx="168">
                  <c:v>441</c:v>
                </c:pt>
                <c:pt idx="169">
                  <c:v>442</c:v>
                </c:pt>
                <c:pt idx="170">
                  <c:v>443</c:v>
                </c:pt>
                <c:pt idx="171">
                  <c:v>444</c:v>
                </c:pt>
                <c:pt idx="172">
                  <c:v>445</c:v>
                </c:pt>
                <c:pt idx="173">
                  <c:v>446</c:v>
                </c:pt>
                <c:pt idx="174">
                  <c:v>447</c:v>
                </c:pt>
                <c:pt idx="175">
                  <c:v>448</c:v>
                </c:pt>
                <c:pt idx="176">
                  <c:v>449</c:v>
                </c:pt>
                <c:pt idx="177">
                  <c:v>450</c:v>
                </c:pt>
                <c:pt idx="178">
                  <c:v>451</c:v>
                </c:pt>
                <c:pt idx="179">
                  <c:v>452</c:v>
                </c:pt>
                <c:pt idx="180">
                  <c:v>453</c:v>
                </c:pt>
                <c:pt idx="181">
                  <c:v>454</c:v>
                </c:pt>
                <c:pt idx="182">
                  <c:v>455</c:v>
                </c:pt>
                <c:pt idx="183">
                  <c:v>456</c:v>
                </c:pt>
                <c:pt idx="184">
                  <c:v>457</c:v>
                </c:pt>
                <c:pt idx="185">
                  <c:v>458</c:v>
                </c:pt>
                <c:pt idx="186">
                  <c:v>459</c:v>
                </c:pt>
                <c:pt idx="187">
                  <c:v>460</c:v>
                </c:pt>
                <c:pt idx="188">
                  <c:v>461</c:v>
                </c:pt>
                <c:pt idx="189">
                  <c:v>462</c:v>
                </c:pt>
                <c:pt idx="190">
                  <c:v>463</c:v>
                </c:pt>
                <c:pt idx="191">
                  <c:v>464</c:v>
                </c:pt>
                <c:pt idx="192">
                  <c:v>465</c:v>
                </c:pt>
                <c:pt idx="193">
                  <c:v>466</c:v>
                </c:pt>
                <c:pt idx="194">
                  <c:v>467</c:v>
                </c:pt>
                <c:pt idx="195">
                  <c:v>468</c:v>
                </c:pt>
                <c:pt idx="196">
                  <c:v>469</c:v>
                </c:pt>
                <c:pt idx="197">
                  <c:v>470</c:v>
                </c:pt>
                <c:pt idx="198">
                  <c:v>471</c:v>
                </c:pt>
                <c:pt idx="199">
                  <c:v>472</c:v>
                </c:pt>
                <c:pt idx="200">
                  <c:v>473</c:v>
                </c:pt>
                <c:pt idx="201">
                  <c:v>474</c:v>
                </c:pt>
                <c:pt idx="202">
                  <c:v>475</c:v>
                </c:pt>
                <c:pt idx="203">
                  <c:v>476</c:v>
                </c:pt>
                <c:pt idx="204">
                  <c:v>477</c:v>
                </c:pt>
                <c:pt idx="205">
                  <c:v>478</c:v>
                </c:pt>
                <c:pt idx="206">
                  <c:v>479</c:v>
                </c:pt>
                <c:pt idx="207">
                  <c:v>480</c:v>
                </c:pt>
                <c:pt idx="208">
                  <c:v>481</c:v>
                </c:pt>
                <c:pt idx="209">
                  <c:v>482</c:v>
                </c:pt>
                <c:pt idx="210">
                  <c:v>483</c:v>
                </c:pt>
                <c:pt idx="211">
                  <c:v>484</c:v>
                </c:pt>
                <c:pt idx="212">
                  <c:v>485</c:v>
                </c:pt>
                <c:pt idx="213">
                  <c:v>486</c:v>
                </c:pt>
                <c:pt idx="214">
                  <c:v>487</c:v>
                </c:pt>
                <c:pt idx="215">
                  <c:v>488</c:v>
                </c:pt>
                <c:pt idx="216">
                  <c:v>489</c:v>
                </c:pt>
                <c:pt idx="217">
                  <c:v>490</c:v>
                </c:pt>
                <c:pt idx="218">
                  <c:v>491</c:v>
                </c:pt>
                <c:pt idx="219">
                  <c:v>492</c:v>
                </c:pt>
                <c:pt idx="220">
                  <c:v>493</c:v>
                </c:pt>
                <c:pt idx="221">
                  <c:v>494</c:v>
                </c:pt>
                <c:pt idx="222">
                  <c:v>495</c:v>
                </c:pt>
                <c:pt idx="223">
                  <c:v>496</c:v>
                </c:pt>
                <c:pt idx="224">
                  <c:v>497</c:v>
                </c:pt>
                <c:pt idx="225">
                  <c:v>498</c:v>
                </c:pt>
                <c:pt idx="226">
                  <c:v>499</c:v>
                </c:pt>
                <c:pt idx="227">
                  <c:v>500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6E5E-4FEE-A151-3081192B65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137967"/>
        <c:axId val="2086138447"/>
      </c:scatterChart>
      <c:valAx>
        <c:axId val="2086137967"/>
        <c:scaling>
          <c:orientation val="minMax"/>
          <c:min val="0.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2086138447"/>
        <c:crosses val="autoZero"/>
        <c:crossBetween val="midCat"/>
      </c:valAx>
      <c:valAx>
        <c:axId val="2086138447"/>
        <c:scaling>
          <c:orientation val="minMax"/>
          <c:max val="500"/>
          <c:min val="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2086137967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510540</xdr:colOff>
      <xdr:row>0</xdr:row>
      <xdr:rowOff>83820</xdr:rowOff>
    </xdr:from>
    <xdr:to>
      <xdr:col>21</xdr:col>
      <xdr:colOff>368411</xdr:colOff>
      <xdr:row>19</xdr:row>
      <xdr:rowOff>181474</xdr:rowOff>
    </xdr:to>
    <xdr:grpSp>
      <xdr:nvGrpSpPr>
        <xdr:cNvPr id="7" name="Skupina 6">
          <a:extLst>
            <a:ext uri="{FF2B5EF4-FFF2-40B4-BE49-F238E27FC236}">
              <a16:creationId xmlns:a16="http://schemas.microsoft.com/office/drawing/2014/main" id="{65F5CF3D-420A-72E5-9F28-8664EEA42C89}"/>
            </a:ext>
          </a:extLst>
        </xdr:cNvPr>
        <xdr:cNvGrpSpPr/>
      </xdr:nvGrpSpPr>
      <xdr:grpSpPr>
        <a:xfrm>
          <a:off x="7825740" y="83820"/>
          <a:ext cx="5344271" cy="3572374"/>
          <a:chOff x="7604760" y="289560"/>
          <a:chExt cx="5344271" cy="3572374"/>
        </a:xfrm>
      </xdr:grpSpPr>
      <xdr:pic>
        <xdr:nvPicPr>
          <xdr:cNvPr id="2" name="Obrázek 1">
            <a:extLst>
              <a:ext uri="{FF2B5EF4-FFF2-40B4-BE49-F238E27FC236}">
                <a16:creationId xmlns:a16="http://schemas.microsoft.com/office/drawing/2014/main" id="{CBCCB6FB-EC52-BB5E-AB5E-1713FB37D77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7604760" y="289560"/>
            <a:ext cx="5344271" cy="3572374"/>
          </a:xfrm>
          <a:prstGeom prst="rect">
            <a:avLst/>
          </a:prstGeom>
        </xdr:spPr>
      </xdr:pic>
      <xdr:sp macro="" textlink="">
        <xdr:nvSpPr>
          <xdr:cNvPr id="3" name="TextovéPole 2">
            <a:extLst>
              <a:ext uri="{FF2B5EF4-FFF2-40B4-BE49-F238E27FC236}">
                <a16:creationId xmlns:a16="http://schemas.microsoft.com/office/drawing/2014/main" id="{169B3BD1-5E82-BBAE-EED8-FE0490F7913A}"/>
              </a:ext>
            </a:extLst>
          </xdr:cNvPr>
          <xdr:cNvSpPr txBox="1"/>
        </xdr:nvSpPr>
        <xdr:spPr>
          <a:xfrm>
            <a:off x="8382000" y="358140"/>
            <a:ext cx="266700" cy="32004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cs-CZ" sz="1600"/>
              <a:t>1</a:t>
            </a:r>
          </a:p>
        </xdr:txBody>
      </xdr:sp>
      <xdr:sp macro="" textlink="">
        <xdr:nvSpPr>
          <xdr:cNvPr id="4" name="TextovéPole 3">
            <a:extLst>
              <a:ext uri="{FF2B5EF4-FFF2-40B4-BE49-F238E27FC236}">
                <a16:creationId xmlns:a16="http://schemas.microsoft.com/office/drawing/2014/main" id="{D365E705-C46F-51CC-8ACD-218B4621E10E}"/>
              </a:ext>
            </a:extLst>
          </xdr:cNvPr>
          <xdr:cNvSpPr txBox="1"/>
        </xdr:nvSpPr>
        <xdr:spPr>
          <a:xfrm>
            <a:off x="11917680" y="480060"/>
            <a:ext cx="281940" cy="32004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cs-CZ" sz="1600"/>
              <a:t>2</a:t>
            </a:r>
          </a:p>
        </xdr:txBody>
      </xdr:sp>
      <xdr:sp macro="" textlink="">
        <xdr:nvSpPr>
          <xdr:cNvPr id="5" name="TextovéPole 4">
            <a:extLst>
              <a:ext uri="{FF2B5EF4-FFF2-40B4-BE49-F238E27FC236}">
                <a16:creationId xmlns:a16="http://schemas.microsoft.com/office/drawing/2014/main" id="{B74D002B-1E86-C2CF-B0A6-4A00C274B42D}"/>
              </a:ext>
            </a:extLst>
          </xdr:cNvPr>
          <xdr:cNvSpPr txBox="1"/>
        </xdr:nvSpPr>
        <xdr:spPr>
          <a:xfrm>
            <a:off x="11894820" y="3070860"/>
            <a:ext cx="259080" cy="32766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cs-CZ" sz="1600"/>
              <a:t>3</a:t>
            </a:r>
          </a:p>
        </xdr:txBody>
      </xdr:sp>
      <xdr:sp macro="" textlink="">
        <xdr:nvSpPr>
          <xdr:cNvPr id="6" name="TextovéPole 5">
            <a:extLst>
              <a:ext uri="{FF2B5EF4-FFF2-40B4-BE49-F238E27FC236}">
                <a16:creationId xmlns:a16="http://schemas.microsoft.com/office/drawing/2014/main" id="{043E01D0-2DB6-0D17-501E-AE73F3AAE62E}"/>
              </a:ext>
            </a:extLst>
          </xdr:cNvPr>
          <xdr:cNvSpPr txBox="1"/>
        </xdr:nvSpPr>
        <xdr:spPr>
          <a:xfrm>
            <a:off x="8153400" y="3261360"/>
            <a:ext cx="289560" cy="35052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cs-CZ" sz="1600"/>
              <a:t>4</a:t>
            </a:r>
          </a:p>
        </xdr:txBody>
      </xdr:sp>
    </xdr:grpSp>
    <xdr:clientData/>
  </xdr:twoCellAnchor>
  <xdr:twoCellAnchor>
    <xdr:from>
      <xdr:col>31</xdr:col>
      <xdr:colOff>419100</xdr:colOff>
      <xdr:row>2</xdr:row>
      <xdr:rowOff>45720</xdr:rowOff>
    </xdr:from>
    <xdr:to>
      <xdr:col>39</xdr:col>
      <xdr:colOff>114300</xdr:colOff>
      <xdr:row>17</xdr:row>
      <xdr:rowOff>45720</xdr:rowOff>
    </xdr:to>
    <xdr:graphicFrame macro="">
      <xdr:nvGraphicFramePr>
        <xdr:cNvPr id="11" name="Graf 10">
          <a:extLst>
            <a:ext uri="{FF2B5EF4-FFF2-40B4-BE49-F238E27FC236}">
              <a16:creationId xmlns:a16="http://schemas.microsoft.com/office/drawing/2014/main" id="{3A4BFB56-449E-404F-AF5D-7B28462D56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AppData/Roaming/Microsoft/AddIns/CoolProp.xlam" TargetMode="External"/><Relationship Id="rId2" Type="http://schemas.openxmlformats.org/officeDocument/2006/relationships/externalLinkPath" Target="file:///C:\Users\Paxin45\AppData\Roaming\Microsoft\AddIns\CoolProp.xlam" TargetMode="External"/><Relationship Id="rId1" Type="http://schemas.openxmlformats.org/officeDocument/2006/relationships/externalLinkPath" Target="/Users/Paxin45/AppData/Roaming/Microsoft/AddIns/CoolProp.xla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3"/>
    </sheetNames>
    <definedNames>
      <definedName name="propssi"/>
    </defined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30"/>
  <sheetViews>
    <sheetView tabSelected="1" workbookViewId="0">
      <selection activeCell="H22" sqref="H22"/>
    </sheetView>
  </sheetViews>
  <sheetFormatPr defaultRowHeight="14.4" x14ac:dyDescent="0.3"/>
  <cols>
    <col min="2" max="2" width="8.88671875" customWidth="1"/>
    <col min="5" max="6" width="8.88671875" customWidth="1"/>
  </cols>
  <sheetData>
    <row r="1" spans="1:28" x14ac:dyDescent="0.3">
      <c r="B1" s="1" t="s">
        <v>0</v>
      </c>
      <c r="W1" t="s">
        <v>35</v>
      </c>
      <c r="Z1" t="s">
        <v>36</v>
      </c>
    </row>
    <row r="2" spans="1:28" x14ac:dyDescent="0.3">
      <c r="A2" t="s">
        <v>5</v>
      </c>
      <c r="B2" s="2">
        <v>80</v>
      </c>
      <c r="C2" t="s">
        <v>11</v>
      </c>
      <c r="D2" s="3" t="s">
        <v>4</v>
      </c>
      <c r="E2" s="7">
        <v>0.75</v>
      </c>
      <c r="W2" t="s">
        <v>31</v>
      </c>
      <c r="X2" t="s">
        <v>32</v>
      </c>
      <c r="Y2" t="s">
        <v>30</v>
      </c>
      <c r="Z2" t="s">
        <v>31</v>
      </c>
      <c r="AA2" t="s">
        <v>32</v>
      </c>
      <c r="AB2" t="s">
        <v>30</v>
      </c>
    </row>
    <row r="3" spans="1:28" x14ac:dyDescent="0.3">
      <c r="A3" t="s">
        <v>6</v>
      </c>
      <c r="B3" s="2">
        <v>130</v>
      </c>
      <c r="C3" t="s">
        <v>11</v>
      </c>
      <c r="D3" t="s">
        <v>12</v>
      </c>
      <c r="E3" s="2">
        <v>500</v>
      </c>
      <c r="F3" t="s">
        <v>13</v>
      </c>
      <c r="W3" cm="1">
        <f t="array" ref="W3">[1]!propssi("S","Q",0,"T",Y3,$W$1)/1000</f>
        <v>0.99935383812074075</v>
      </c>
      <c r="X3" cm="1">
        <f t="array" ref="X3">[1]!propssi("S","Q",1,"T",Y3,$W$1)/1000</f>
        <v>1.7454097047617863</v>
      </c>
      <c r="Y3">
        <v>273</v>
      </c>
      <c r="Z3" cm="1">
        <f t="array" ref="Z3">[1]!propssi("S","Q",0,"T",AB3,$Z$1)/1000</f>
        <v>0.99933750803187538</v>
      </c>
      <c r="AA3" cm="1">
        <f t="array" ref="AA3">[1]!propssi("S","Q",1,"T",AB3,$Z$1)/1000</f>
        <v>1.8069559969563556</v>
      </c>
      <c r="AB3">
        <v>273</v>
      </c>
    </row>
    <row r="4" spans="1:28" x14ac:dyDescent="0.3">
      <c r="A4" t="s">
        <v>7</v>
      </c>
      <c r="B4" s="2">
        <v>5</v>
      </c>
      <c r="C4" t="s">
        <v>1</v>
      </c>
      <c r="W4" cm="1">
        <f t="array" ref="W4">[1]!propssi("S","Q",0,"T",Y4,$W$1)/1000</f>
        <v>1.0036571124029343</v>
      </c>
      <c r="X4" cm="1">
        <f t="array" ref="X4">[1]!propssi("S","Q",1,"T",Y4,$W$1)/1000</f>
        <v>1.7452439723278919</v>
      </c>
      <c r="Y4">
        <v>274</v>
      </c>
      <c r="Z4" cm="1">
        <f t="array" ref="Z4">[1]!propssi("S","Q",0,"T",AB4,$Z$1)/1000</f>
        <v>1.0037510541902286</v>
      </c>
      <c r="AA4" cm="1">
        <f t="array" ref="AA4">[1]!propssi("S","Q",1,"T",AB4,$Z$1)/1000</f>
        <v>1.8064890259091817</v>
      </c>
      <c r="AB4">
        <v>274</v>
      </c>
    </row>
    <row r="5" spans="1:28" x14ac:dyDescent="0.3">
      <c r="A5" t="s">
        <v>8</v>
      </c>
      <c r="B5" s="2">
        <v>5</v>
      </c>
      <c r="C5" t="s">
        <v>1</v>
      </c>
      <c r="F5" t="s">
        <v>33</v>
      </c>
      <c r="W5" cm="1">
        <f t="array" ref="W5">[1]!propssi("S","Q",0,"T",Y5,$W$1)/1000</f>
        <v>1.007949921588732</v>
      </c>
      <c r="X5" cm="1">
        <f t="array" ref="X5">[1]!propssi("S","Q",1,"T",Y5,$W$1)/1000</f>
        <v>1.7450954296239909</v>
      </c>
      <c r="Y5">
        <v>275</v>
      </c>
      <c r="Z5" cm="1">
        <f t="array" ref="Z5">[1]!propssi("S","Q",0,"T",AB5,$Z$1)/1000</f>
        <v>1.0081574469463552</v>
      </c>
      <c r="AA5" cm="1">
        <f t="array" ref="AA5">[1]!propssi("S","Q",1,"T",AB5,$Z$1)/1000</f>
        <v>1.8060402493244945</v>
      </c>
      <c r="AB5">
        <v>275</v>
      </c>
    </row>
    <row r="6" spans="1:28" x14ac:dyDescent="0.3">
      <c r="A6" t="s">
        <v>2</v>
      </c>
      <c r="B6" s="2" t="str">
        <f>F7</f>
        <v>REFPROP::R1233ZDE[0.5]&amp;R1234ZEZ[0.5]</v>
      </c>
      <c r="F6" t="s">
        <v>34</v>
      </c>
      <c r="W6" cm="1">
        <f t="array" ref="W6">[1]!propssi("S","Q",0,"T",Y6,$W$1)/1000</f>
        <v>1.0122323565496221</v>
      </c>
      <c r="X6" cm="1">
        <f t="array" ref="X6">[1]!propssi("S","Q",1,"T",Y6,$W$1)/1000</f>
        <v>1.7449637387150259</v>
      </c>
      <c r="Y6">
        <v>276</v>
      </c>
      <c r="Z6" cm="1">
        <f t="array" ref="Z6">[1]!propssi("S","Q",0,"T",AB6,$Z$1)/1000</f>
        <v>1.0125567869867032</v>
      </c>
      <c r="AA6" cm="1">
        <f t="array" ref="AA6">[1]!propssi("S","Q",1,"T",AB6,$Z$1)/1000</f>
        <v>1.805609349059256</v>
      </c>
      <c r="AB6">
        <v>276</v>
      </c>
    </row>
    <row r="7" spans="1:28" x14ac:dyDescent="0.3">
      <c r="A7" t="s">
        <v>3</v>
      </c>
      <c r="B7" s="2"/>
      <c r="F7" t="s">
        <v>38</v>
      </c>
      <c r="W7" cm="1">
        <f t="array" ref="W7">[1]!propssi("S","Q",0,"T",Y7,$W$1)/1000</f>
        <v>1.0165045076500987</v>
      </c>
      <c r="X7" cm="1">
        <f t="array" ref="X7">[1]!propssi("S","Q",1,"T",Y7,$W$1)/1000</f>
        <v>1.7448485673378957</v>
      </c>
      <c r="Y7">
        <v>277</v>
      </c>
      <c r="Z7" cm="1">
        <f t="array" ref="Z7">[1]!propssi("S","Q",0,"T",AB7,$Z$1)/1000</f>
        <v>1.0169491737537726</v>
      </c>
      <c r="AA7" cm="1">
        <f t="array" ref="AA7">[1]!propssi("S","Q",1,"T",AB7,$Z$1)/1000</f>
        <v>1.8051960109592737</v>
      </c>
      <c r="AB7">
        <v>277</v>
      </c>
    </row>
    <row r="8" spans="1:28" x14ac:dyDescent="0.3">
      <c r="W8" cm="1">
        <f t="array" ref="W8">[1]!propssi("S","Q",0,"T",Y8,$W$1)/1000</f>
        <v>1.0207664647681178</v>
      </c>
      <c r="X8" cm="1">
        <f t="array" ref="X8">[1]!propssi("S","Q",1,"T",Y8,$W$1)/1000</f>
        <v>1.744749588791072</v>
      </c>
      <c r="Y8">
        <v>278</v>
      </c>
      <c r="Z8" cm="1">
        <f t="array" ref="Z8">[1]!propssi("S","Q",0,"T",AB8,$Z$1)/1000</f>
        <v>1.0213347054834505</v>
      </c>
      <c r="AA8" cm="1">
        <f t="array" ref="AA8">[1]!propssi("S","Q",1,"T",AB8,$Z$1)/1000</f>
        <v>1.8047999247630764</v>
      </c>
      <c r="AB8">
        <v>278</v>
      </c>
    </row>
    <row r="9" spans="1:28" x14ac:dyDescent="0.3">
      <c r="B9" s="4"/>
      <c r="C9" s="4"/>
      <c r="D9" s="4"/>
      <c r="E9" s="4"/>
      <c r="F9" s="4"/>
      <c r="G9" s="4"/>
      <c r="J9" t="s">
        <v>17</v>
      </c>
      <c r="K9">
        <f>E11-E15</f>
        <v>95.638366284007247</v>
      </c>
      <c r="L9" t="s">
        <v>19</v>
      </c>
      <c r="W9" cm="1">
        <f t="array" ref="W9">[1]!propssi("S","Q",0,"T",Y9,$W$1)/1000</f>
        <v>1.025018317315169</v>
      </c>
      <c r="X9" cm="1">
        <f t="array" ref="X9">[1]!propssi("S","Q",1,"T",Y9,$W$1)/1000</f>
        <v>1.7446664818249453</v>
      </c>
      <c r="Y9">
        <v>279</v>
      </c>
      <c r="Z9" cm="1">
        <f t="array" ref="Z9">[1]!propssi("S","Q",0,"T",AB9,$Z$1)/1000</f>
        <v>1.0257134792422344</v>
      </c>
      <c r="AA9" cm="1">
        <f t="array" ref="AA9">[1]!propssi("S","Q",1,"T",AB9,$Z$1)/1000</f>
        <v>1.8044207840070017</v>
      </c>
      <c r="AB9">
        <v>279</v>
      </c>
    </row>
    <row r="10" spans="1:28" x14ac:dyDescent="0.3">
      <c r="A10" s="4"/>
      <c r="B10" s="5" t="s">
        <v>26</v>
      </c>
      <c r="C10" s="5" t="s">
        <v>9</v>
      </c>
      <c r="D10" s="5" t="s">
        <v>10</v>
      </c>
      <c r="E10" s="5" t="s">
        <v>14</v>
      </c>
      <c r="F10" s="5" t="s">
        <v>15</v>
      </c>
      <c r="G10" s="6" t="s">
        <v>23</v>
      </c>
      <c r="H10" s="5" t="s">
        <v>37</v>
      </c>
      <c r="J10" t="s">
        <v>18</v>
      </c>
      <c r="K10">
        <f>E13-E14</f>
        <v>122.26399185437168</v>
      </c>
      <c r="L10" t="s">
        <v>19</v>
      </c>
      <c r="W10" cm="1">
        <f t="array" ref="W10">[1]!propssi("S","Q",0,"T",Y10,$W$1)/1000</f>
        <v>1.0292601542559727</v>
      </c>
      <c r="X10" cm="1">
        <f t="array" ref="X10">[1]!propssi("S","Q",1,"T",Y10,$W$1)/1000</f>
        <v>1.7445989305328053</v>
      </c>
      <c r="Y10">
        <v>280</v>
      </c>
      <c r="Z10" cm="1">
        <f t="array" ref="Z10">[1]!propssi("S","Q",0,"T",AB10,$Z$1)/1000</f>
        <v>1.0300855909643647</v>
      </c>
      <c r="AA10" cm="1">
        <f t="array" ref="AA10">[1]!propssi("S","Q",1,"T",AB10,$Z$1)/1000</f>
        <v>1.8040582859314085</v>
      </c>
      <c r="AB10">
        <v>280</v>
      </c>
    </row>
    <row r="11" spans="1:28" x14ac:dyDescent="0.3">
      <c r="A11" s="4"/>
      <c r="B11" s="5">
        <v>1</v>
      </c>
      <c r="C11" cm="1">
        <f t="array" ref="C11">[1]!propssi("P","T",B2+273.15,"Q",1,B6)/1000</f>
        <v>783.69038461362004</v>
      </c>
      <c r="D11">
        <f>B2+B4</f>
        <v>85</v>
      </c>
      <c r="E11" cm="1">
        <f t="array" ref="E11">[1]!propssi("H","P",C11*1000,"T",D11+273.15,B6)/1000</f>
        <v>469.06433807965357</v>
      </c>
      <c r="F11" cm="1">
        <f t="array" ref="F11">[1]!propssi("S","P",C11*1000,"T",D11+273.15,B6)/1000</f>
        <v>1.8424140194367755</v>
      </c>
      <c r="G11" cm="1">
        <f t="array" ref="G11">[1]!propssi("D","P",C11*1000,"H",E11*1000,$B$6)</f>
        <v>39.103293581902591</v>
      </c>
      <c r="H11" cm="1">
        <f t="array" ref="H11">[1]!propssi("Q","P",C11*1000,"H",E11*1000,$B$6)</f>
        <v>1.0321524616121132</v>
      </c>
      <c r="J11" t="s">
        <v>27</v>
      </c>
      <c r="K11">
        <f>E3/K10</f>
        <v>4.0895114940754489</v>
      </c>
      <c r="L11" t="s">
        <v>20</v>
      </c>
      <c r="W11" cm="1">
        <f t="array" ref="W11">[1]!propssi("S","Q",0,"T",Y11,$W$1)/1000</f>
        <v>1.0334920641278504</v>
      </c>
      <c r="X11" cm="1">
        <f t="array" ref="X11">[1]!propssi("S","Q",1,"T",Y11,$W$1)/1000</f>
        <v>1.7445466242425101</v>
      </c>
      <c r="Y11">
        <v>281</v>
      </c>
      <c r="Z11" cm="1">
        <f t="array" ref="Z11">[1]!propssi("S","Q",0,"T",AB11,$Z$1)/1000</f>
        <v>1.0344511354888841</v>
      </c>
      <c r="AA11" cm="1">
        <f t="array" ref="AA11">[1]!propssi("S","Q",1,"T",AB11,$Z$1)/1000</f>
        <v>1.8037121313879698</v>
      </c>
      <c r="AB11">
        <v>281</v>
      </c>
    </row>
    <row r="12" spans="1:28" x14ac:dyDescent="0.3">
      <c r="A12" s="4"/>
      <c r="B12" s="5" t="s">
        <v>16</v>
      </c>
      <c r="C12">
        <f>C13</f>
        <v>2264.4430846069158</v>
      </c>
      <c r="D12" cm="1">
        <f t="array" ref="D12">[1]!propssi("T","P",C12*1000,"S",F12*1000,B6)-273.15</f>
        <v>132.7534816279495</v>
      </c>
      <c r="E12" cm="1">
        <f t="array" ref="E12">[1]!propssi("H","P",C12*1000,"S",F12*1000,B6)/1000</f>
        <v>489.03355725742688</v>
      </c>
      <c r="F12">
        <f>F11</f>
        <v>1.8424140194367755</v>
      </c>
      <c r="G12" cm="1">
        <f t="array" ref="G12">[1]!propssi("D","P",C12*1000,"H",E12*1000,$B$6)</f>
        <v>134.527623800367</v>
      </c>
      <c r="H12" cm="1">
        <f t="array" ref="H12">[1]!propssi("Q","P",C12*1000,"H",E12*1000,$B$6)</f>
        <v>1.0220222029209955</v>
      </c>
      <c r="J12" t="s">
        <v>21</v>
      </c>
      <c r="K12">
        <f>K10-K9</f>
        <v>26.625625570364434</v>
      </c>
      <c r="L12" t="s">
        <v>19</v>
      </c>
      <c r="W12" cm="1">
        <f t="array" ref="W12">[1]!propssi("S","Q",0,"T",Y12,$W$1)/1000</f>
        <v>1.0377141350597896</v>
      </c>
      <c r="X12" cm="1">
        <f t="array" ref="X12">[1]!propssi("S","Q",1,"T",Y12,$W$1)/1000</f>
        <v>1.7445092574087853</v>
      </c>
      <c r="Y12">
        <v>282</v>
      </c>
      <c r="Z12" cm="1">
        <f t="array" ref="Z12">[1]!propssi("S","Q",0,"T",AB12,$Z$1)/1000</f>
        <v>1.0388102065966591</v>
      </c>
      <c r="AA12" cm="1">
        <f t="array" ref="AA12">[1]!propssi("S","Q",1,"T",AB12,$Z$1)/1000</f>
        <v>1.8033820247479551</v>
      </c>
      <c r="AB12">
        <v>282</v>
      </c>
    </row>
    <row r="13" spans="1:28" x14ac:dyDescent="0.3">
      <c r="A13" s="4"/>
      <c r="B13" s="5">
        <v>2</v>
      </c>
      <c r="C13">
        <f>C14</f>
        <v>2264.4430846069158</v>
      </c>
      <c r="D13" cm="1">
        <f t="array" ref="D13">[1]!propssi("T","P",C13*1000,"H",E13*1000,B6)-273.15</f>
        <v>136.94898651945226</v>
      </c>
      <c r="E13">
        <f>(E12-E11)/E2+E11</f>
        <v>495.689963650018</v>
      </c>
      <c r="F13" cm="1">
        <f t="array" ref="F13">[1]!propssi("S","P",C13*1000,"H",E13*1000,B6)/1000</f>
        <v>1.8587298675937545</v>
      </c>
      <c r="G13" cm="1">
        <f t="array" ref="G13">[1]!propssi("D","P",C13*1000,"H",E13*1000,$B$6)</f>
        <v>127.64487023020696</v>
      </c>
      <c r="H13" cm="1">
        <f t="array" ref="H13">[1]!propssi("Q","P",C13*1000,"H",E13*1000,$B$6)</f>
        <v>1.0593984457195695</v>
      </c>
      <c r="J13" t="s">
        <v>22</v>
      </c>
      <c r="K13">
        <f>K11*K12</f>
        <v>108.88580180695453</v>
      </c>
      <c r="L13" t="s">
        <v>13</v>
      </c>
      <c r="W13" cm="1">
        <f t="array" ref="W13">[1]!propssi("S","Q",0,"T",Y13,$W$1)/1000</f>
        <v>1.0419264547912337</v>
      </c>
      <c r="X13" cm="1">
        <f t="array" ref="X13">[1]!propssi("S","Q",1,"T",Y13,$W$1)/1000</f>
        <v>1.7444865295061738</v>
      </c>
      <c r="Y13">
        <v>283</v>
      </c>
      <c r="Z13" cm="1">
        <f t="array" ref="Z13">[1]!propssi("S","Q",0,"T",AB13,$Z$1)/1000</f>
        <v>1.0431628970473807</v>
      </c>
      <c r="AA13" cm="1">
        <f t="array" ref="AA13">[1]!propssi("S","Q",1,"T",AB13,$Z$1)/1000</f>
        <v>1.8030676738114608</v>
      </c>
      <c r="AB13">
        <v>283</v>
      </c>
    </row>
    <row r="14" spans="1:28" x14ac:dyDescent="0.3">
      <c r="A14" s="4"/>
      <c r="B14" s="5">
        <v>3</v>
      </c>
      <c r="C14" cm="1">
        <f t="array" ref="C14">[1]!propssi("P","T",B3+273.15,"Q",0,B6)/1000</f>
        <v>2264.4430846069158</v>
      </c>
      <c r="D14">
        <f>B3-B5</f>
        <v>125</v>
      </c>
      <c r="E14" cm="1">
        <f t="array" ref="E14">[1]!propssi("H","P",C14*1000,"T",D14+273.15,B6)/1000</f>
        <v>373.42597179564632</v>
      </c>
      <c r="F14" cm="1">
        <f t="array" ref="F14">[1]!propssi("S","P",C14*1000,"T",D14+273.15,B6)/1000</f>
        <v>1.5556884868558336</v>
      </c>
      <c r="G14" cm="1">
        <f t="array" ref="G14">[1]!propssi("D","P",C14*1000,"H",E14*1000,$B$6)</f>
        <v>897.58882037196258</v>
      </c>
      <c r="H14" cm="1">
        <f t="array" ref="H14">[1]!propssi("Q","P",C14*1000,"H",E14*1000,$B$6)</f>
        <v>-8.8395986465773374E-2</v>
      </c>
      <c r="J14" t="s">
        <v>24</v>
      </c>
      <c r="K14">
        <f>K10/K12</f>
        <v>4.5919669204113358</v>
      </c>
      <c r="W14" cm="1">
        <f t="array" ref="W14">[1]!propssi("S","Q",0,"T",Y14,$W$1)/1000</f>
        <v>1.0461291106906001</v>
      </c>
      <c r="X14" cm="1">
        <f t="array" ref="X14">[1]!propssi("S","Q",1,"T",Y14,$W$1)/1000</f>
        <v>1.7444781449225826</v>
      </c>
      <c r="Y14">
        <v>284</v>
      </c>
      <c r="Z14" cm="1">
        <f t="array" ref="Z14">[1]!propssi("S","Q",0,"T",AB14,$Z$1)/1000</f>
        <v>1.0475092986165733</v>
      </c>
      <c r="AA14" cm="1">
        <f t="array" ref="AA14">[1]!propssi("S","Q",1,"T",AB14,$Z$1)/1000</f>
        <v>1.8027687897174955</v>
      </c>
      <c r="AB14">
        <v>284</v>
      </c>
    </row>
    <row r="15" spans="1:28" x14ac:dyDescent="0.3">
      <c r="A15" s="4"/>
      <c r="B15" s="5">
        <v>4</v>
      </c>
      <c r="C15">
        <f>C11</f>
        <v>783.69038461362004</v>
      </c>
      <c r="D15" cm="1">
        <f t="array" ref="D15">[1]!propssi("T","P",C15*1000,"H",E15*1000,B6)-273.15</f>
        <v>79.635402201131058</v>
      </c>
      <c r="E15">
        <f>E14</f>
        <v>373.42597179564632</v>
      </c>
      <c r="F15" cm="1">
        <f t="array" ref="F15">[1]!propssi("S","P",C15*1000,"H",E15*1000,B6)/1000</f>
        <v>1.5715708980851608</v>
      </c>
      <c r="G15" cm="1">
        <f t="array" ref="G15">[1]!propssi("D","P",C15*1000,"H",E15*1000,$B$6)</f>
        <v>88.623411001931856</v>
      </c>
      <c r="H15" cm="1">
        <f t="array" ref="H15">[1]!propssi("Q","P",C15*1000,"H",E15*1000,$B$6)</f>
        <v>0.43353377187288755</v>
      </c>
      <c r="J15" t="s">
        <v>25</v>
      </c>
      <c r="K15">
        <f>K10*G11</f>
        <v>4780.9247679768432</v>
      </c>
      <c r="W15" cm="1">
        <f t="array" ref="W15">[1]!propssi("S","Q",0,"T",Y15,$W$1)/1000</f>
        <v>1.0503221897736099</v>
      </c>
      <c r="X15" cm="1">
        <f t="array" ref="X15">[1]!propssi("S","Q",1,"T",Y15,$W$1)/1000</f>
        <v>1.7444838128534825</v>
      </c>
      <c r="Y15">
        <v>285</v>
      </c>
      <c r="Z15" cm="1">
        <f t="array" ref="Z15">[1]!propssi("S","Q",0,"T",AB15,$Z$1)/1000</f>
        <v>1.0518495021326333</v>
      </c>
      <c r="AA15" cm="1">
        <f t="array" ref="AA15">[1]!propssi("S","Q",1,"T",AB15,$Z$1)/1000</f>
        <v>1.8024850868548694</v>
      </c>
      <c r="AB15">
        <v>285</v>
      </c>
    </row>
    <row r="16" spans="1:28" x14ac:dyDescent="0.3">
      <c r="W16" cm="1">
        <f t="array" ref="W16">[1]!propssi("S","Q",0,"T",Y16,$W$1)/1000</f>
        <v>1.0545057787213796</v>
      </c>
      <c r="X16" cm="1">
        <f t="array" ref="X16">[1]!propssi("S","Q",1,"T",Y16,$W$1)/1000</f>
        <v>1.7445032471966819</v>
      </c>
      <c r="Y16">
        <v>286</v>
      </c>
      <c r="Z16" cm="1">
        <f t="array" ref="Z16">[1]!propssi("S","Q",0,"T",AB16,$Z$1)/1000</f>
        <v>1.056183597513938</v>
      </c>
      <c r="AA16" cm="1">
        <f t="array" ref="AA16">[1]!propssi("S","Q",1,"T",AB16,$Z$1)/1000</f>
        <v>1.8022162827738235</v>
      </c>
      <c r="AB16">
        <v>286</v>
      </c>
    </row>
    <row r="17" spans="20:28" x14ac:dyDescent="0.3">
      <c r="W17" cm="1">
        <f t="array" ref="W17">[1]!propssi("S","Q",0,"T",Y17,$W$1)/1000</f>
        <v>1.0586799638983757</v>
      </c>
      <c r="X17" cm="1">
        <f t="array" ref="X17">[1]!propssi("S","Q",1,"T",Y17,$W$1)/1000</f>
        <v>1.744536166447715</v>
      </c>
      <c r="Y17">
        <v>287</v>
      </c>
      <c r="Z17" cm="1">
        <f t="array" ref="Z17">[1]!propssi("S","Q",0,"T",AB17,$Z$1)/1000</f>
        <v>1.0605116738060301</v>
      </c>
      <c r="AA17" cm="1">
        <f t="array" ref="AA17">[1]!propssi("S","Q",1,"T",AB17,$Z$1)/1000</f>
        <v>1.8019620980983029</v>
      </c>
      <c r="AB17">
        <v>287</v>
      </c>
    </row>
    <row r="18" spans="20:28" x14ac:dyDescent="0.3">
      <c r="W18" cm="1">
        <f t="array" ref="W18">[1]!propssi("S","Q",0,"T",Y18,$W$1)/1000</f>
        <v>1.0628448313701864</v>
      </c>
      <c r="X18" cm="1">
        <f t="array" ref="X18">[1]!propssi("S","Q",1,"T",Y18,$W$1)/1000</f>
        <v>1.7445822935958104</v>
      </c>
      <c r="Y18">
        <v>288</v>
      </c>
      <c r="Z18" cm="1">
        <f t="array" ref="Z18">[1]!propssi("S","Q",0,"T",AB18,$Z$1)/1000</f>
        <v>1.0648338192189284</v>
      </c>
      <c r="AA18" cm="1">
        <f t="array" ref="AA18">[1]!propssi("S","Q",1,"T",AB18,$Z$1)/1000</f>
        <v>1.8017222564388551</v>
      </c>
      <c r="AB18">
        <v>288</v>
      </c>
    </row>
    <row r="19" spans="20:28" x14ac:dyDescent="0.3">
      <c r="W19" cm="1">
        <f t="array" ref="W19">[1]!propssi("S","Q",0,"T",Y19,$W$1)/1000</f>
        <v>1.0670004669212028</v>
      </c>
      <c r="X19" cm="1">
        <f t="array" ref="X19">[1]!propssi("S","Q",1,"T",Y19,$W$1)/1000</f>
        <v>1.7446413560204608</v>
      </c>
      <c r="Y19">
        <v>289</v>
      </c>
      <c r="Z19" cm="1">
        <f t="array" ref="Z19">[1]!propssi("S","Q",0,"T",AB19,$Z$1)/1000</f>
        <v>1.0691501211645844</v>
      </c>
      <c r="AA19" cm="1">
        <f t="array" ref="AA19">[1]!propssi("S","Q",1,"T",AB19,$Z$1)/1000</f>
        <v>1.8014964843060448</v>
      </c>
      <c r="AB19">
        <v>289</v>
      </c>
    </row>
    <row r="20" spans="20:28" x14ac:dyDescent="0.3">
      <c r="W20" cm="1">
        <f t="array" ref="W20">[1]!propssi("S","Q",0,"T",Y20,$W$1)/1000</f>
        <v>1.0711469560721758</v>
      </c>
      <c r="X20" cm="1">
        <f t="array" ref="X20">[1]!propssi("S","Q",1,"T",Y20,$W$1)/1000</f>
        <v>1.7447130853885426</v>
      </c>
      <c r="Y20">
        <v>290</v>
      </c>
      <c r="Z20" cm="1">
        <f t="array" ref="Z20">[1]!propssi("S","Q",0,"T",AB20,$Z$1)/1000</f>
        <v>1.0734606662945034</v>
      </c>
      <c r="AA20" cm="1">
        <f t="array" ref="AA20">[1]!propssi("S","Q",1,"T",AB20,$Z$1)/1000</f>
        <v>1.8012845110243405</v>
      </c>
      <c r="AB20">
        <v>290</v>
      </c>
    </row>
    <row r="21" spans="20:28" x14ac:dyDescent="0.3">
      <c r="T21" t="s">
        <v>29</v>
      </c>
      <c r="U21" t="s">
        <v>28</v>
      </c>
      <c r="W21" cm="1">
        <f t="array" ref="W21">[1]!propssi("S","Q",0,"T",Y21,$W$1)/1000</f>
        <v>1.0752843840977115</v>
      </c>
      <c r="X21" cm="1">
        <f t="array" ref="X21">[1]!propssi("S","Q",1,"T",Y21,$W$1)/1000</f>
        <v>1.7447972175520319</v>
      </c>
      <c r="Y21">
        <v>291</v>
      </c>
      <c r="Z21" cm="1">
        <f t="array" ref="Z21">[1]!propssi("S","Q",0,"T",AB21,$Z$1)/1000</f>
        <v>1.0777655405375866</v>
      </c>
      <c r="AA21" cm="1">
        <f t="array" ref="AA21">[1]!propssi("S","Q",1,"T",AB21,$Z$1)/1000</f>
        <v>1.801086068646413</v>
      </c>
      <c r="AB21">
        <v>291</v>
      </c>
    </row>
    <row r="22" spans="20:28" x14ac:dyDescent="0.3">
      <c r="T22">
        <v>1</v>
      </c>
      <c r="U22">
        <v>4.7893308331866598</v>
      </c>
      <c r="W22" cm="1">
        <f t="array" ref="W22">[1]!propssi("S","Q",0,"T",Y22,$W$1)/1000</f>
        <v>1.0794128360437187</v>
      </c>
      <c r="X22" cm="1">
        <f t="array" ref="X22">[1]!propssi("S","Q",1,"T",Y22,$W$1)/1000</f>
        <v>1.7448934924462645</v>
      </c>
      <c r="Y22">
        <v>292</v>
      </c>
      <c r="Z22" cm="1">
        <f t="array" ref="Z22">[1]!propssi("S","Q",0,"T",AB22,$Z$1)/1000</f>
        <v>1.0820648291382045</v>
      </c>
      <c r="AA22" cm="1">
        <f t="array" ref="AA22">[1]!propssi("S","Q",1,"T",AB22,$Z$1)/1000</f>
        <v>1.8009008918677758</v>
      </c>
      <c r="AB22">
        <v>292</v>
      </c>
    </row>
    <row r="23" spans="20:28" x14ac:dyDescent="0.3">
      <c r="T23">
        <v>0.96</v>
      </c>
      <c r="U23">
        <v>4.7554994090623204</v>
      </c>
      <c r="W23" cm="1">
        <f t="array" ref="W23">[1]!propssi("S","Q",0,"T",Y23,$W$1)/1000</f>
        <v>1.0835323967448098</v>
      </c>
      <c r="X23" cm="1">
        <f t="array" ref="X23">[1]!propssi("S","Q",1,"T",Y23,$W$1)/1000</f>
        <v>1.7450016539887465</v>
      </c>
      <c r="Y23">
        <v>293</v>
      </c>
      <c r="Z23" cm="1">
        <f t="array" ref="Z23">[1]!propssi("S","Q",0,"T",AB23,$Z$1)/1000</f>
        <v>1.0863586166945358</v>
      </c>
      <c r="AA23" cm="1">
        <f t="array" ref="AA23">[1]!propssi("S","Q",1,"T",AB23,$Z$1)/1000</f>
        <v>1.8007287179417071</v>
      </c>
      <c r="AB23">
        <v>293</v>
      </c>
    </row>
    <row r="24" spans="20:28" x14ac:dyDescent="0.3">
      <c r="T24">
        <v>0.92</v>
      </c>
      <c r="U24">
        <v>4.7208319833930297</v>
      </c>
      <c r="W24" cm="1">
        <f t="array" ref="W24">[1]!propssi("S","Q",0,"T",Y24,$W$1)/1000</f>
        <v>1.0876431508417204</v>
      </c>
      <c r="X24" cm="1">
        <f t="array" ref="X24">[1]!propssi("S","Q",1,"T",Y24,$W$1)/1000</f>
        <v>1.745121449978533</v>
      </c>
      <c r="Y24">
        <v>294</v>
      </c>
      <c r="Z24" cm="1">
        <f t="array" ref="Z24">[1]!propssi("S","Q",0,"T",AB24,$Z$1)/1000</f>
        <v>1.0906469871972169</v>
      </c>
      <c r="AA24" cm="1">
        <f t="array" ref="AA24">[1]!propssi("S","Q",1,"T",AB24,$Z$1)/1000</f>
        <v>1.8005692865943956</v>
      </c>
      <c r="AB24">
        <v>294</v>
      </c>
    </row>
    <row r="25" spans="20:28" x14ac:dyDescent="0.3">
      <c r="T25">
        <v>0.88</v>
      </c>
      <c r="U25">
        <v>4.6899030937853299</v>
      </c>
      <c r="W25" cm="1">
        <f t="array" ref="W25">[1]!propssi("S","Q",0,"T",Y25,$W$1)/1000</f>
        <v>1.0917451827987306</v>
      </c>
      <c r="X25" cm="1">
        <f t="array" ref="X25">[1]!propssi("S","Q",1,"T",Y25,$W$1)/1000</f>
        <v>1.7452526319961212</v>
      </c>
      <c r="Y25">
        <v>295</v>
      </c>
      <c r="Z25" cm="1">
        <f t="array" ref="Z25">[1]!propssi("S","Q",0,"T",AB25,$Z$1)/1000</f>
        <v>1.09493002406833</v>
      </c>
      <c r="AA25" cm="1">
        <f t="array" ref="AA25">[1]!propssi("S","Q",1,"T",AB25,$Z$1)/1000</f>
        <v>1.8004223399402597</v>
      </c>
      <c r="AB25">
        <v>295</v>
      </c>
    </row>
    <row r="26" spans="20:28" x14ac:dyDescent="0.3">
      <c r="T26">
        <v>0.84</v>
      </c>
      <c r="U26">
        <v>4.6490939329048002</v>
      </c>
      <c r="W26" cm="1">
        <f t="array" ref="W26">[1]!propssi("S","Q",0,"T",Y26,$W$1)/1000</f>
        <v>1.0958385769211378</v>
      </c>
      <c r="X26" cm="1">
        <f t="array" ref="X26">[1]!propssi("S","Q",1,"T",Y26,$W$1)/1000</f>
        <v>1.7453949553038903</v>
      </c>
      <c r="Y26">
        <v>296</v>
      </c>
      <c r="Z26" cm="1">
        <f t="array" ref="Z26">[1]!propssi("S","Q",0,"T",AB26,$Z$1)/1000</f>
        <v>1.0992078102007585</v>
      </c>
      <c r="AA26" cm="1">
        <f t="array" ref="AA26">[1]!propssi("S","Q",1,"T",AB26,$Z$1)/1000</f>
        <v>1.8002876223973656</v>
      </c>
      <c r="AB26">
        <v>296</v>
      </c>
    </row>
    <row r="27" spans="20:28" x14ac:dyDescent="0.3">
      <c r="T27">
        <v>0.8</v>
      </c>
      <c r="U27">
        <v>4.61190943894767</v>
      </c>
      <c r="W27" cm="1">
        <f t="array" ref="W27">[1]!propssi("S","Q",0,"T",Y27,$W$1)/1000</f>
        <v>1.0999234173727939</v>
      </c>
      <c r="X27" cm="1">
        <f t="array" ref="X27">[1]!propssi("S","Q",1,"T",Y27,$W$1)/1000</f>
        <v>1.745548178747051</v>
      </c>
      <c r="Y27">
        <v>297</v>
      </c>
      <c r="Z27" cm="1">
        <f t="array" ref="Z27">[1]!propssi("S","Q",0,"T",AB27,$Z$1)/1000</f>
        <v>1.1034804279979595</v>
      </c>
      <c r="AA27" cm="1">
        <f t="array" ref="AA27">[1]!propssi("S","Q",1,"T",AB27,$Z$1)/1000</f>
        <v>1.8001648806029116</v>
      </c>
      <c r="AB27">
        <v>297</v>
      </c>
    </row>
    <row r="28" spans="20:28" x14ac:dyDescent="0.3">
      <c r="T28">
        <v>0.76</v>
      </c>
      <c r="U28">
        <v>4.5737778137860996</v>
      </c>
      <c r="W28" cm="1">
        <f t="array" ref="W28">[1]!propssi("S","Q",0,"T",Y28,$W$1)/1000</f>
        <v>1.1039997881937191</v>
      </c>
      <c r="X28" cm="1">
        <f t="array" ref="X28">[1]!propssi("S","Q",1,"T",Y28,$W$1)/1000</f>
        <v>1.7457120646551012</v>
      </c>
      <c r="Y28">
        <v>298</v>
      </c>
      <c r="Z28" cm="1">
        <f t="array" ref="Z28">[1]!propssi("S","Q",0,"T",AB28,$Z$1)/1000</f>
        <v>1.1077479594141759</v>
      </c>
      <c r="AA28" cm="1">
        <f t="array" ref="AA28">[1]!propssi("S","Q",1,"T",AB28,$Z$1)/1000</f>
        <v>1.8000538633287007</v>
      </c>
      <c r="AB28">
        <v>298</v>
      </c>
    </row>
    <row r="29" spans="20:28" x14ac:dyDescent="0.3">
      <c r="T29">
        <v>0.72</v>
      </c>
      <c r="U29">
        <v>4.5346649138857096</v>
      </c>
      <c r="W29" cm="1">
        <f t="array" ref="W29">[1]!propssi("S","Q",0,"T",Y29,$W$1)/1000</f>
        <v>1.1080677733178383</v>
      </c>
      <c r="X29" cm="1">
        <f t="array" ref="X29">[1]!propssi("S","Q",1,"T",Y29,$W$1)/1000</f>
        <v>1.7458863787437831</v>
      </c>
      <c r="Y29">
        <v>299</v>
      </c>
      <c r="Z29" cm="1">
        <f t="array" ref="Z29">[1]!propssi("S","Q",0,"T",AB29,$Z$1)/1000</f>
        <v>1.1120104859951427</v>
      </c>
      <c r="AA29" cm="1">
        <f t="array" ref="AA29">[1]!propssi("S","Q",1,"T",AB29,$Z$1)/1000</f>
        <v>1.7999543213965654</v>
      </c>
      <c r="AB29">
        <v>299</v>
      </c>
    </row>
    <row r="30" spans="20:28" x14ac:dyDescent="0.3">
      <c r="T30">
        <v>0.68</v>
      </c>
      <c r="U30">
        <v>4.4945171615923698</v>
      </c>
      <c r="W30" cm="1">
        <f t="array" ref="W30">[1]!propssi("S","Q",0,"T",Y30,$W$1)/1000</f>
        <v>1.112127456590849</v>
      </c>
      <c r="X30" cm="1">
        <f t="array" ref="X30">[1]!propssi("S","Q",1,"T",Y30,$W$1)/1000</f>
        <v>1.7460708900175383</v>
      </c>
      <c r="Y30">
        <v>300</v>
      </c>
      <c r="Z30" cm="1">
        <f t="array" ref="Z30">[1]!propssi("S","Q",0,"T",AB30,$Z$1)/1000</f>
        <v>1.1162680889193144</v>
      </c>
      <c r="AA30" cm="1">
        <f t="array" ref="AA30">[1]!propssi("S","Q",1,"T",AB30,$Z$1)/1000</f>
        <v>1.799866007593685</v>
      </c>
      <c r="AB30">
        <v>300</v>
      </c>
    </row>
    <row r="31" spans="20:28" x14ac:dyDescent="0.3">
      <c r="T31">
        <v>0.64</v>
      </c>
      <c r="U31">
        <v>4.4532899490197897</v>
      </c>
      <c r="W31" cm="1">
        <f t="array" ref="W31">[1]!propssi("S","Q",0,"T",Y31,$W$1)/1000</f>
        <v>1.1161789217882361</v>
      </c>
      <c r="X31" cm="1">
        <f t="array" ref="X31">[1]!propssi("S","Q",1,"T",Y31,$W$1)/1000</f>
        <v>1.7462653706723925</v>
      </c>
      <c r="Y31">
        <v>301</v>
      </c>
      <c r="Z31" cm="1">
        <f t="array" ref="Z31">[1]!propssi("S","Q",0,"T",AB31,$Z$1)/1000</f>
        <v>1.1205208490396701</v>
      </c>
      <c r="AA31" cm="1">
        <f t="array" ref="AA31">[1]!propssi("S","Q",1,"T",AB31,$Z$1)/1000</f>
        <v>1.799788676587744</v>
      </c>
      <c r="AB31">
        <v>301</v>
      </c>
    </row>
    <row r="32" spans="20:28" x14ac:dyDescent="0.3">
      <c r="T32">
        <v>0.6</v>
      </c>
      <c r="U32">
        <v>4.4109022420104802</v>
      </c>
      <c r="W32" cm="1">
        <f t="array" ref="W32">[1]!propssi("S","Q",0,"T",Y32,$W$1)/1000</f>
        <v>1.1202222526334802</v>
      </c>
      <c r="X32" cm="1">
        <f t="array" ref="X32">[1]!propssi("S","Q",1,"T",Y32,$W$1)/1000</f>
        <v>1.7464695959993441</v>
      </c>
      <c r="Y32">
        <v>302</v>
      </c>
      <c r="Z32" cm="1">
        <f t="array" ref="Z32">[1]!propssi("S","Q",0,"T",AB32,$Z$1)/1000</f>
        <v>1.1247688469261143</v>
      </c>
      <c r="AA32" cm="1">
        <f t="array" ref="AA32">[1]!propssi("S","Q",1,"T",AB32,$Z$1)/1000</f>
        <v>1.7997220848418827</v>
      </c>
      <c r="AB32">
        <v>302</v>
      </c>
    </row>
    <row r="33" spans="20:28" x14ac:dyDescent="0.3">
      <c r="T33">
        <v>0.56000000000000005</v>
      </c>
      <c r="U33">
        <v>4.3673494151748802</v>
      </c>
      <c r="W33" cm="1">
        <f t="array" ref="W33">[1]!propssi("S","Q",0,"T",Y33,$W$1)/1000</f>
        <v>1.1242575328164468</v>
      </c>
      <c r="X33" cm="1">
        <f t="array" ref="X33">[1]!propssi("S","Q",1,"T",Y33,$W$1)/1000</f>
        <v>1.7466833442881553</v>
      </c>
      <c r="Y33">
        <v>303</v>
      </c>
      <c r="Z33" cm="1">
        <f t="array" ref="Z33">[1]!propssi("S","Q",0,"T",AB33,$Z$1)/1000</f>
        <v>1.1290121629085541</v>
      </c>
      <c r="AA33" cm="1">
        <f t="array" ref="AA33">[1]!propssi("S","Q",1,"T",AB33,$Z$1)/1000</f>
        <v>1.7996659905293753</v>
      </c>
      <c r="AB33">
        <v>303</v>
      </c>
    </row>
    <row r="34" spans="20:28" x14ac:dyDescent="0.3">
      <c r="T34">
        <v>0.52</v>
      </c>
      <c r="U34">
        <v>4.3225462205585101</v>
      </c>
      <c r="W34" cm="1">
        <f t="array" ref="W34">[1]!propssi("S","Q",0,"T",Y34,$W$1)/1000</f>
        <v>1.1282848460120287</v>
      </c>
      <c r="X34" cm="1">
        <f t="array" ref="X34">[1]!propssi("S","Q",1,"T",Y34,$W$1)/1000</f>
        <v>1.7469063967315774</v>
      </c>
      <c r="Y34">
        <v>304</v>
      </c>
      <c r="Z34" cm="1">
        <f t="array" ref="Z34">[1]!propssi("S","Q",0,"T",AB34,$Z$1)/1000</f>
        <v>1.1332508771206595</v>
      </c>
      <c r="AA34" cm="1">
        <f t="array" ref="AA34">[1]!propssi("S","Q",1,"T",AB34,$Z$1)/1000</f>
        <v>1.7996201534480059</v>
      </c>
      <c r="AB34">
        <v>304</v>
      </c>
    </row>
    <row r="35" spans="20:28" x14ac:dyDescent="0.3">
      <c r="T35">
        <v>0.48</v>
      </c>
      <c r="U35">
        <v>4.2764368531160599</v>
      </c>
      <c r="W35" cm="1">
        <f t="array" ref="W35">[1]!propssi("S","Q",0,"T",Y35,$W$1)/1000</f>
        <v>1.1323042758990149</v>
      </c>
      <c r="X35" cm="1">
        <f t="array" ref="X35">[1]!propssi("S","Q",1,"T",Y35,$W$1)/1000</f>
        <v>1.7471385373299742</v>
      </c>
      <c r="Y35">
        <v>305</v>
      </c>
      <c r="Z35" cm="1">
        <f t="array" ref="Z35">[1]!propssi("S","Q",0,"T",AB35,$Z$1)/1000</f>
        <v>1.137485069544391</v>
      </c>
      <c r="AA35" cm="1">
        <f t="array" ref="AA35">[1]!propssi("S","Q",1,"T",AB35,$Z$1)/1000</f>
        <v>1.7995843349340741</v>
      </c>
      <c r="AB35">
        <v>305</v>
      </c>
    </row>
    <row r="36" spans="20:28" x14ac:dyDescent="0.3">
      <c r="T36">
        <v>0.44</v>
      </c>
      <c r="U36">
        <v>4.2289670124301697</v>
      </c>
      <c r="W36" cm="1">
        <f t="array" ref="W36">[1]!propssi("S","Q",0,"T",Y36,$W$1)/1000</f>
        <v>1.1363159061792447</v>
      </c>
      <c r="X36" cm="1">
        <f t="array" ref="X36">[1]!propssi("S","Q",1,"T",Y36,$W$1)/1000</f>
        <v>1.7473795527963227</v>
      </c>
      <c r="Y36">
        <v>306</v>
      </c>
      <c r="Z36" cm="1">
        <f t="array" ref="Z36">[1]!propssi("S","Q",0,"T",AB36,$Z$1)/1000</f>
        <v>1.1417148200553242</v>
      </c>
      <c r="AA36" cm="1">
        <f t="array" ref="AA36">[1]!propssi("S","Q",1,"T",AB36,$Z$1)/1000</f>
        <v>1.7995582977759745</v>
      </c>
      <c r="AB36">
        <v>306</v>
      </c>
    </row>
    <row r="37" spans="20:28" x14ac:dyDescent="0.3">
      <c r="T37">
        <v>0.39999999999999902</v>
      </c>
      <c r="U37">
        <v>4.1800825976943301</v>
      </c>
      <c r="W37" cm="1">
        <f t="array" ref="W37">[1]!propssi("S","Q",0,"T",Y37,$W$1)/1000</f>
        <v>1.1403198205970508</v>
      </c>
      <c r="X37" cm="1">
        <f t="array" ref="X37">[1]!propssi("S","Q",1,"T",Y37,$W$1)/1000</f>
        <v>1.7476292324615619</v>
      </c>
      <c r="Y37">
        <v>307</v>
      </c>
      <c r="Z37" cm="1">
        <f t="array" ref="Z37">[1]!propssi("S","Q",0,"T",AB37,$Z$1)/1000</f>
        <v>1.1459402084688166</v>
      </c>
      <c r="AA37" cm="1">
        <f t="array" ref="AA37">[1]!propssi("S","Q",1,"T",AB37,$Z$1)/1000</f>
        <v>1.7995418061273019</v>
      </c>
      <c r="AB37">
        <v>307</v>
      </c>
    </row>
    <row r="38" spans="20:28" x14ac:dyDescent="0.3">
      <c r="T38">
        <v>0.35999999999999899</v>
      </c>
      <c r="U38">
        <v>4.1297306842442199</v>
      </c>
      <c r="W38" cm="1">
        <f t="array" ref="W38">[1]!propssi("S","Q",0,"T",Y38,$W$1)/1000</f>
        <v>1.1443161029590414</v>
      </c>
      <c r="X38" cm="1">
        <f t="array" ref="X38">[1]!propssi("S","Q",1,"T",Y38,$W$1)/1000</f>
        <v>1.7478873681802882</v>
      </c>
      <c r="Y38">
        <v>308</v>
      </c>
      <c r="Z38" cm="1">
        <f t="array" ref="Z38">[1]!propssi("S","Q",0,"T",AB38,$Z$1)/1000</f>
        <v>1.1501613145871008</v>
      </c>
      <c r="AA38" cm="1">
        <f t="array" ref="AA38">[1]!propssi("S","Q",1,"T",AB38,$Z$1)/1000</f>
        <v>1.79953462541943</v>
      </c>
      <c r="AB38">
        <v>308</v>
      </c>
    </row>
    <row r="39" spans="20:28" x14ac:dyDescent="0.3">
      <c r="T39">
        <v>0.31999999999999901</v>
      </c>
      <c r="U39">
        <v>4.0778604171455504</v>
      </c>
      <c r="W39" cm="1">
        <f t="array" ref="W39">[1]!propssi("S","Q",0,"T",Y39,$W$1)/1000</f>
        <v>1.1483048371542033</v>
      </c>
      <c r="X39" cm="1">
        <f t="array" ref="X39">[1]!propssi("S","Q",1,"T",Y39,$W$1)/1000</f>
        <v>1.7481537542367256</v>
      </c>
      <c r="Y39">
        <v>309</v>
      </c>
      <c r="Z39" cm="1">
        <f t="array" ref="Z39">[1]!propssi("S","Q",0,"T",AB39,$Z$1)/1000</f>
        <v>1.1543782182473301</v>
      </c>
      <c r="AA39" cm="1">
        <f t="array" ref="AA39">[1]!propssi("S","Q",1,"T",AB39,$Z$1)/1000</f>
        <v>1.7995365222734914</v>
      </c>
      <c r="AB39">
        <v>309</v>
      </c>
    </row>
    <row r="40" spans="20:28" x14ac:dyDescent="0.3">
      <c r="T40">
        <v>0.27999999999999903</v>
      </c>
      <c r="U40">
        <v>4.0244242925281597</v>
      </c>
      <c r="W40" cm="1">
        <f t="array" ref="W40">[1]!propssi("S","Q",0,"T",Y40,$W$1)/1000</f>
        <v>1.152286107174415</v>
      </c>
      <c r="X40" cm="1">
        <f t="array" ref="X40">[1]!propssi("S","Q",1,"T",Y40,$W$1)/1000</f>
        <v>1.7484281872509952</v>
      </c>
      <c r="Y40">
        <v>310</v>
      </c>
      <c r="Z40" cm="1">
        <f t="array" ref="Z40">[1]!propssi("S","Q",0,"T",AB40,$Z$1)/1000</f>
        <v>1.1585909993706511</v>
      </c>
      <c r="AA40" cm="1">
        <f t="array" ref="AA40">[1]!propssi("S","Q",1,"T",AB40,$Z$1)/1000</f>
        <v>1.7995472644117061</v>
      </c>
      <c r="AB40">
        <v>310</v>
      </c>
    </row>
    <row r="41" spans="20:28" x14ac:dyDescent="0.3">
      <c r="T41">
        <v>0.23999999999999899</v>
      </c>
      <c r="U41">
        <v>3.9693800130128101</v>
      </c>
      <c r="W41" cm="1">
        <f t="array" ref="W41">[1]!propssi("S","Q",0,"T",Y41,$W$1)/1000</f>
        <v>1.1562599971353227</v>
      </c>
      <c r="X41" cm="1">
        <f t="array" ref="X41">[1]!propssi("S","Q",1,"T",Y41,$W$1)/1000</f>
        <v>1.7487104660856125</v>
      </c>
      <c r="Y41">
        <v>311</v>
      </c>
      <c r="Z41" cm="1">
        <f t="array" ref="Z41">[1]!propssi("S","Q",0,"T",AB41,$Z$1)/1000</f>
        <v>1.162799738012368</v>
      </c>
      <c r="AA41" cm="1">
        <f t="array" ref="AA41">[1]!propssi("S","Q",1,"T",AB41,$Z$1)/1000</f>
        <v>1.7995666205679941</v>
      </c>
      <c r="AB41">
        <v>311</v>
      </c>
    </row>
    <row r="42" spans="20:28" x14ac:dyDescent="0.3">
      <c r="T42">
        <v>0.19999999999999901</v>
      </c>
      <c r="U42">
        <v>3.91269318873311</v>
      </c>
      <c r="W42" cm="1">
        <f t="array" ref="W42">[1]!propssi("S","Q",0,"T",Y42,$W$1)/1000</f>
        <v>1.1602265912976704</v>
      </c>
      <c r="X42" cm="1">
        <f t="array" ref="X42">[1]!propssi("S","Q",1,"T",Y42,$W$1)/1000</f>
        <v>1.7490003917521753</v>
      </c>
      <c r="Y42">
        <v>312</v>
      </c>
      <c r="Z42" cm="1">
        <f t="array" ref="Z42">[1]!propssi("S","Q",0,"T",AB42,$Z$1)/1000</f>
        <v>1.1670045144132419</v>
      </c>
      <c r="AA42" cm="1">
        <f t="array" ref="AA42">[1]!propssi("S","Q",1,"T",AB42,$Z$1)/1000</f>
        <v>1.7995943603977929</v>
      </c>
      <c r="AB42">
        <v>312</v>
      </c>
    </row>
    <row r="43" spans="20:28" x14ac:dyDescent="0.3">
      <c r="T43">
        <v>0.159999999999999</v>
      </c>
      <c r="U43">
        <v>3.8543412716246501</v>
      </c>
      <c r="W43" cm="1">
        <f t="array" ref="W43">[1]!propssi("S","Q",0,"T",Y43,$W$1)/1000</f>
        <v>1.1641859740890776</v>
      </c>
      <c r="X43" cm="1">
        <f t="array" ref="X43">[1]!propssi("S","Q",1,"T",Y43,$W$1)/1000</f>
        <v>1.749297767318257</v>
      </c>
      <c r="Y43">
        <v>313</v>
      </c>
      <c r="Z43" cm="1">
        <f t="array" ref="Z43">[1]!propssi("S","Q",0,"T",AB43,$Z$1)/1000</f>
        <v>1.1712054090520343</v>
      </c>
      <c r="AA43" cm="1">
        <f t="array" ref="AA43">[1]!propssi("S","Q",1,"T",AB43,$Z$1)/1000</f>
        <v>1.7996302543870244</v>
      </c>
      <c r="AB43">
        <v>313</v>
      </c>
    </row>
    <row r="44" spans="20:28" x14ac:dyDescent="0.3">
      <c r="T44">
        <v>0.119999999999999</v>
      </c>
      <c r="U44">
        <v>3.7943192873944498</v>
      </c>
      <c r="W44" cm="1">
        <f t="array" ref="W44">[1]!propssi("S","Q",0,"T",Y44,$W$1)/1000</f>
        <v>1.1681382301262944</v>
      </c>
      <c r="X44" cm="1">
        <f t="array" ref="X44">[1]!propssi("S","Q",1,"T",Y44,$W$1)/1000</f>
        <v>1.7496023978143871</v>
      </c>
      <c r="Y44">
        <v>314</v>
      </c>
      <c r="Z44" cm="1">
        <f t="array" ref="Z44">[1]!propssi("S","Q",0,"T",AB44,$Z$1)/1000</f>
        <v>1.1754025026993127</v>
      </c>
      <c r="AA44" cm="1">
        <f t="array" ref="AA44">[1]!propssi("S","Q",1,"T",AB44,$Z$1)/1000</f>
        <v>1.7996740737601162</v>
      </c>
      <c r="AB44">
        <v>314</v>
      </c>
    </row>
    <row r="45" spans="20:28" x14ac:dyDescent="0.3">
      <c r="T45">
        <v>7.9999999999999002E-2</v>
      </c>
      <c r="U45">
        <v>3.7326481519029802</v>
      </c>
      <c r="W45" cm="1">
        <f t="array" ref="W45">[1]!propssi("S","Q",0,"T",Y45,$W$1)/1000</f>
        <v>1.1720834442379842</v>
      </c>
      <c r="X45" cm="1">
        <f t="array" ref="X45">[1]!propssi("S","Q",1,"T",Y45,$W$1)/1000</f>
        <v>1.7499140901411592</v>
      </c>
      <c r="Y45">
        <v>315</v>
      </c>
      <c r="Z45" cm="1">
        <f t="array" ref="Z45">[1]!propssi("S","Q",0,"T",AB45,$Z$1)/1000</f>
        <v>1.1795958764726386</v>
      </c>
      <c r="AA45" cm="1">
        <f t="array" ref="AA45">[1]!propssi("S","Q",1,"T",AB45,$Z$1)/1000</f>
        <v>1.7997255903870049</v>
      </c>
      <c r="AB45">
        <v>315</v>
      </c>
    </row>
    <row r="46" spans="20:28" x14ac:dyDescent="0.3">
      <c r="T46">
        <v>3.9999999999999002E-2</v>
      </c>
      <c r="U46">
        <v>7.5834404722159604E-2</v>
      </c>
      <c r="W46" cm="1">
        <f t="array" ref="W46">[1]!propssi("S","Q",0,"T",Y46,$W$1)/1000</f>
        <v>1.1760217014880414</v>
      </c>
      <c r="X46" cm="1">
        <f t="array" ref="X46">[1]!propssi("S","Q",1,"T",Y46,$W$1)/1000</f>
        <v>1.7502326529763415</v>
      </c>
      <c r="Y46">
        <v>316</v>
      </c>
      <c r="Z46" cm="1">
        <f t="array" ref="Z46">[1]!propssi("S","Q",0,"T",AB46,$Z$1)/1000</f>
        <v>1.1837856118931964</v>
      </c>
      <c r="AA46" cm="1">
        <f t="array" ref="AA46">[1]!propssi("S","Q",1,"T",AB46,$Z$1)/1000</f>
        <v>1.7997845766890272</v>
      </c>
      <c r="AB46">
        <v>316</v>
      </c>
    </row>
    <row r="47" spans="20:28" x14ac:dyDescent="0.3">
      <c r="T47">
        <v>0</v>
      </c>
      <c r="U47">
        <v>3.6046402510079401</v>
      </c>
      <c r="W47" cm="1">
        <f t="array" ref="W47">[1]!propssi("S","Q",0,"T",Y47,$W$1)/1000</f>
        <v>1.1799530871994934</v>
      </c>
      <c r="X47" cm="1">
        <f t="array" ref="X47">[1]!propssi("S","Q",1,"T",Y47,$W$1)/1000</f>
        <v>1.7505578966820232</v>
      </c>
      <c r="Y47">
        <v>317</v>
      </c>
      <c r="Z47" cm="1">
        <f t="array" ref="Z47">[1]!propssi("S","Q",0,"T",AB47,$Z$1)/1000</f>
        <v>1.1879717909439451</v>
      </c>
      <c r="AA47" cm="1">
        <f t="array" ref="AA47">[1]!propssi("S","Q",1,"T",AB47,$Z$1)/1000</f>
        <v>1.7998508055436138</v>
      </c>
      <c r="AB47">
        <v>317</v>
      </c>
    </row>
    <row r="48" spans="20:28" x14ac:dyDescent="0.3">
      <c r="W48" cm="1">
        <f t="array" ref="W48">[1]!propssi("S","Q",0,"T",Y48,$W$1)/1000</f>
        <v>1.1838776869789995</v>
      </c>
      <c r="X48" cm="1">
        <f t="array" ref="X48">[1]!propssi("S","Q",1,"T",Y48,$W$1)/1000</f>
        <v>1.7508896332116617</v>
      </c>
      <c r="Y48">
        <v>318</v>
      </c>
      <c r="Z48" cm="1">
        <f t="array" ref="Z48">[1]!propssi("S","Q",0,"T",AB48,$Z$1)/1000</f>
        <v>1.1921544961293784</v>
      </c>
      <c r="AA48" cm="1">
        <f t="array" ref="AA48">[1]!propssi("S","Q",1,"T",AB48,$Z$1)/1000</f>
        <v>1.7999240501876608</v>
      </c>
      <c r="AB48">
        <v>318</v>
      </c>
    </row>
    <row r="49" spans="23:28" x14ac:dyDescent="0.3">
      <c r="W49" cm="1">
        <f t="array" ref="W49">[1]!propssi("S","Q",0,"T",Y49,$W$1)/1000</f>
        <v>1.1877955867420156</v>
      </c>
      <c r="X49" cm="1">
        <f t="array" ref="X49">[1]!propssi("S","Q",1,"T",Y49,$W$1)/1000</f>
        <v>1.751227676017058</v>
      </c>
      <c r="Y49">
        <v>319</v>
      </c>
      <c r="Z49" cm="1">
        <f t="array" ref="Z49">[1]!propssi("S","Q",0,"T",AB49,$Z$1)/1000</f>
        <v>1.1963338105369987</v>
      </c>
      <c r="AA49" cm="1">
        <f t="array" ref="AA49">[1]!propssi("S","Q",1,"T",AB49,$Z$1)/1000</f>
        <v>1.8000040841194951</v>
      </c>
      <c r="AB49">
        <v>319</v>
      </c>
    </row>
    <row r="50" spans="23:28" x14ac:dyDescent="0.3">
      <c r="W50" cm="1">
        <f t="array" ref="W50">[1]!propssi("S","Q",0,"T",Y50,$W$1)/1000</f>
        <v>1.1917068727386215</v>
      </c>
      <c r="X50" cm="1">
        <f t="array" ref="X50">[1]!propssi("S","Q",1,"T",Y50,$W$1)/1000</f>
        <v>1.7515718399551308</v>
      </c>
      <c r="Y50">
        <v>320</v>
      </c>
      <c r="Z50" cm="1">
        <f t="array" ref="Z50">[1]!propssi("S","Q",0,"T",AB50,$Z$1)/1000</f>
        <v>1.2005098179005853</v>
      </c>
      <c r="AA50" cm="1">
        <f t="array" ref="AA50">[1]!propssi("S","Q",1,"T",AB50,$Z$1)/1000</f>
        <v>1.8000906809993016</v>
      </c>
      <c r="AB50">
        <v>320</v>
      </c>
    </row>
    <row r="51" spans="23:28" x14ac:dyDescent="0.3">
      <c r="W51" cm="1">
        <f t="array" ref="W51">[1]!propssi("S","Q",0,"T",Y51,$W$1)/1000</f>
        <v>1.1956116315800682</v>
      </c>
      <c r="X51" cm="1">
        <f t="array" ref="X51">[1]!propssi("S","Q",1,"T",Y51,$W$1)/1000</f>
        <v>1.7519219411944811</v>
      </c>
      <c r="Y51">
        <v>321</v>
      </c>
      <c r="Z51" cm="1">
        <f t="array" ref="Z51">[1]!propssi("S","Q",0,"T",AB51,$Z$1)/1000</f>
        <v>1.2046826026653634</v>
      </c>
      <c r="AA51" cm="1">
        <f t="array" ref="AA51">[1]!propssi("S","Q",1,"T",AB51,$Z$1)/1000</f>
        <v>1.8001836145478782</v>
      </c>
      <c r="AB51">
        <v>321</v>
      </c>
    </row>
    <row r="52" spans="23:28" x14ac:dyDescent="0.3">
      <c r="W52" cm="1">
        <f t="array" ref="W52">[1]!propssi("S","Q",0,"T",Y52,$W$1)/1000</f>
        <v>1.1995099502660949</v>
      </c>
      <c r="X52" cm="1">
        <f t="array" ref="X52">[1]!propssi("S","Q",1,"T",Y52,$W$1)/1000</f>
        <v>1.7522777971216472</v>
      </c>
      <c r="Y52">
        <v>322</v>
      </c>
      <c r="Z52" cm="1">
        <f t="array" ref="Z52">[1]!propssi("S","Q",0,"T",AB52,$Z$1)/1000</f>
        <v>1.2088522500551975</v>
      </c>
      <c r="AA52" cm="1">
        <f t="array" ref="AA52">[1]!propssi("S","Q",1,"T",AB52,$Z$1)/1000</f>
        <v>1.8002826584436031</v>
      </c>
      <c r="AB52">
        <v>322</v>
      </c>
    </row>
    <row r="53" spans="23:28" x14ac:dyDescent="0.3">
      <c r="W53" cm="1">
        <f t="array" ref="W53">[1]!propssi("S","Q",0,"T",Y53,$W$1)/1000</f>
        <v>1.2034019162130283</v>
      </c>
      <c r="X53" cm="1">
        <f t="array" ref="X53">[1]!propssi("S","Q",1,"T",Y53,$W$1)/1000</f>
        <v>1.7526392262470065</v>
      </c>
      <c r="Y53">
        <v>323</v>
      </c>
      <c r="Z53" cm="1">
        <f t="array" ref="Z53">[1]!propssi("S","Q",0,"T",AB53,$Z$1)/1000</f>
        <v>1.21301884614189</v>
      </c>
      <c r="AA53" cm="1">
        <f t="array" ref="AA53">[1]!propssi("S","Q",1,"T",AB53,$Z$1)/1000</f>
        <v>1.8003875862174421</v>
      </c>
      <c r="AB53">
        <v>323</v>
      </c>
    </row>
    <row r="54" spans="23:28" x14ac:dyDescent="0.3">
      <c r="W54" cm="1">
        <f t="array" ref="W54">[1]!propssi("S","Q",0,"T",Y54,$W$1)/1000</f>
        <v>1.2072876172827212</v>
      </c>
      <c r="X54" cm="1">
        <f t="array" ref="X54">[1]!propssi("S","Q",1,"T",Y54,$W$1)/1000</f>
        <v>1.7530060481102161</v>
      </c>
      <c r="Y54">
        <v>324</v>
      </c>
      <c r="Z54" cm="1">
        <f t="array" ref="Z54">[1]!propssi("S","Q",0,"T",AB54,$Z$1)/1000</f>
        <v>1.2171824779167402</v>
      </c>
      <c r="AA54" cm="1">
        <f t="array" ref="AA54">[1]!propssi("S","Q",1,"T",AB54,$Z$1)/1000</f>
        <v>1.8004981711458485</v>
      </c>
      <c r="AB54">
        <v>324</v>
      </c>
    </row>
    <row r="55" spans="23:28" x14ac:dyDescent="0.3">
      <c r="W55" cm="1">
        <f t="array" ref="W55">[1]!propssi("S","Q",0,"T",Y55,$W$1)/1000</f>
        <v>1.2111671418124004</v>
      </c>
      <c r="X55" cm="1">
        <f t="array" ref="X55">[1]!propssi("S","Q",1,"T",Y55,$W$1)/1000</f>
        <v>1.7533780831851655</v>
      </c>
      <c r="Y55">
        <v>325</v>
      </c>
      <c r="Z55" cm="1">
        <f t="array" ref="Z55">[1]!propssi("S","Q",0,"T",AB55,$Z$1)/1000</f>
        <v>1.221343233364478</v>
      </c>
      <c r="AA55" cm="1">
        <f t="array" ref="AA55">[1]!propssi("S","Q",1,"T",AB55,$Z$1)/1000</f>
        <v>1.8006141861413982</v>
      </c>
      <c r="AB55">
        <v>325</v>
      </c>
    </row>
    <row r="56" spans="23:28" x14ac:dyDescent="0.3">
      <c r="W56" cm="1">
        <f t="array" ref="W56">[1]!propssi("S","Q",0,"T",Y56,$W$1)/1000</f>
        <v>1.2150405786454082</v>
      </c>
      <c r="X56" cm="1">
        <f t="array" ref="X56">[1]!propssi("S","Q",1,"T",Y56,$W$1)/1000</f>
        <v>1.7537551527843021</v>
      </c>
      <c r="Y56">
        <v>326</v>
      </c>
      <c r="Z56" cm="1">
        <f t="array" ref="Z56">[1]!propssi("S","Q",0,"T",AB56,$Z$1)/1000</f>
        <v>1.2255012015397022</v>
      </c>
      <c r="AA56" cm="1">
        <f t="array" ref="AA56">[1]!propssi("S","Q",1,"T",AB56,$Z$1)/1000</f>
        <v>1.8007354036409431</v>
      </c>
      <c r="AB56">
        <v>326</v>
      </c>
    </row>
    <row r="57" spans="23:28" x14ac:dyDescent="0.3">
      <c r="W57" cm="1">
        <f t="array" ref="W57">[1]!propssi("S","Q",0,"T",Y57,$W$1)/1000</f>
        <v>1.2189080171629554</v>
      </c>
      <c r="X57" cm="1">
        <f t="array" ref="X57">[1]!propssi("S","Q",1,"T",Y57,$W$1)/1000</f>
        <v>1.7541370789622843</v>
      </c>
      <c r="Y57">
        <v>327</v>
      </c>
      <c r="Z57" cm="1">
        <f t="array" ref="Z57">[1]!propssi("S","Q",0,"T",AB57,$Z$1)/1000</f>
        <v>1.2296564726459698</v>
      </c>
      <c r="AA57" cm="1">
        <f t="array" ref="AA57">[1]!propssi("S","Q",1,"T",AB57,$Z$1)/1000</f>
        <v>1.8008615954911176</v>
      </c>
      <c r="AB57">
        <v>327</v>
      </c>
    </row>
    <row r="58" spans="23:28" x14ac:dyDescent="0.3">
      <c r="W58" cm="1">
        <f t="array" ref="W58">[1]!propssi("S","Q",0,"T",Y58,$W$1)/1000</f>
        <v>1.2227695473168991</v>
      </c>
      <c r="X58" cm="1">
        <f t="array" ref="X58">[1]!propssi("S","Q",1,"T",Y58,$W$1)/1000</f>
        <v>1.7545236844188457</v>
      </c>
      <c r="Y58">
        <v>328</v>
      </c>
      <c r="Z58" cm="1">
        <f t="array" ref="Z58">[1]!propssi("S","Q",0,"T",AB58,$Z$1)/1000</f>
        <v>1.2338091381177108</v>
      </c>
      <c r="AA58" cm="1">
        <f t="array" ref="AA58">[1]!propssi("S","Q",1,"T",AB58,$Z$1)/1000</f>
        <v>1.8009925328309724</v>
      </c>
      <c r="AB58">
        <v>328</v>
      </c>
    </row>
    <row r="59" spans="23:28" x14ac:dyDescent="0.3">
      <c r="W59" cm="1">
        <f t="array" ref="W59">[1]!propssi("S","Q",0,"T",Y59,$W$1)/1000</f>
        <v>1.2266252596635954</v>
      </c>
      <c r="X59" cm="1">
        <f t="array" ref="X59">[1]!propssi("S","Q",1,"T",Y59,$W$1)/1000</f>
        <v>1.7549147924007877</v>
      </c>
      <c r="Y59">
        <v>329</v>
      </c>
      <c r="Z59" cm="1">
        <f t="array" ref="Z59">[1]!propssi("S","Q",0,"T",AB59,$Z$1)/1000</f>
        <v>1.2379592907051005</v>
      </c>
      <c r="AA59" cm="1">
        <f t="array" ref="AA59">[1]!propssi("S","Q",1,"T",AB59,$Z$1)/1000</f>
        <v>1.8011279859715021</v>
      </c>
      <c r="AB59">
        <v>329</v>
      </c>
    </row>
    <row r="60" spans="23:28" x14ac:dyDescent="0.3">
      <c r="W60" cm="1">
        <f t="array" ref="W60">[1]!propssi("S","Q",0,"T",Y60,$W$1)/1000</f>
        <v>1.2304752453989167</v>
      </c>
      <c r="X60" cm="1">
        <f t="array" ref="X60">[1]!propssi("S","Q",1,"T",Y60,$W$1)/1000</f>
        <v>1.7553102266029692</v>
      </c>
      <c r="Y60">
        <v>330</v>
      </c>
      <c r="Z60" cm="1">
        <f t="array" ref="Z60">[1]!propssi("S","Q",0,"T",AB60,$Z$1)/1000</f>
        <v>1.2421070245620878</v>
      </c>
      <c r="AA60" cm="1">
        <f t="array" ref="AA60">[1]!propssi("S","Q",1,"T",AB60,$Z$1)/1000</f>
        <v>1.8012677242718365</v>
      </c>
      <c r="AB60">
        <v>330</v>
      </c>
    </row>
    <row r="61" spans="23:28" x14ac:dyDescent="0.3">
      <c r="W61" cm="1">
        <f t="array" ref="W61">[1]!propssi("S","Q",0,"T",Y61,$W$1)/1000</f>
        <v>1.2343195963944575</v>
      </c>
      <c r="X61" cm="1">
        <f t="array" ref="X61">[1]!propssi("S","Q",1,"T",Y61,$W$1)/1000</f>
        <v>1.7557098110682272</v>
      </c>
      <c r="Y61">
        <v>331</v>
      </c>
      <c r="Z61" cm="1">
        <f t="array" ref="Z61">[1]!propssi("S","Q",0,"T",AB61,$Z$1)/1000</f>
        <v>1.2462524353377551</v>
      </c>
      <c r="AA61" cm="1">
        <f t="array" ref="AA61">[1]!propssi("S","Q",1,"T",AB61,$Z$1)/1000</f>
        <v>1.8014115160118185</v>
      </c>
      <c r="AB61">
        <v>331</v>
      </c>
    </row>
    <row r="62" spans="23:28" x14ac:dyDescent="0.3">
      <c r="W62" cm="1">
        <f t="array" ref="W62">[1]!propssi("S","Q",0,"T",Y62,$W$1)/1000</f>
        <v>1.2381584052350196</v>
      </c>
      <c r="X62" cm="1">
        <f t="array" ref="X62">[1]!propssi("S","Q",1,"T",Y62,$W$1)/1000</f>
        <v>1.7561133700860598</v>
      </c>
      <c r="Y62">
        <v>332</v>
      </c>
      <c r="Z62" cm="1">
        <f t="array" ref="Z62">[1]!propssi("S","Q",0,"T",AB62,$Z$1)/1000</f>
        <v>1.2503956202712037</v>
      </c>
      <c r="AA62" cm="1">
        <f t="array" ref="AA62">[1]!propssi("S","Q",1,"T",AB62,$Z$1)/1000</f>
        <v>1.801559128260692</v>
      </c>
      <c r="AB62">
        <v>332</v>
      </c>
    </row>
    <row r="63" spans="23:28" x14ac:dyDescent="0.3">
      <c r="W63" cm="1">
        <f t="array" ref="W63">[1]!propssi("S","Q",0,"T",Y63,$W$1)/1000</f>
        <v>1.2419917652574359</v>
      </c>
      <c r="X63" cm="1">
        <f t="array" ref="X63">[1]!propssi("S","Q",1,"T",Y63,$W$1)/1000</f>
        <v>1.7565207280899944</v>
      </c>
      <c r="Y63">
        <v>333</v>
      </c>
      <c r="Z63" cm="1">
        <f t="array" ref="Z63">[1]!propssi("S","Q",0,"T",AB63,$Z$1)/1000</f>
        <v>1.2545366782901983</v>
      </c>
      <c r="AA63" cm="1">
        <f t="array" ref="AA63">[1]!propssi("S","Q",1,"T",AB63,$Z$1)/1000</f>
        <v>1.8017103267416048</v>
      </c>
      <c r="AB63">
        <v>333</v>
      </c>
    </row>
    <row r="64" spans="23:28" x14ac:dyDescent="0.3">
      <c r="W64" cm="1">
        <f t="array" ref="W64">[1]!propssi("S","Q",0,"T",Y64,$W$1)/1000</f>
        <v>1.2458197705907987</v>
      </c>
      <c r="X64" cm="1">
        <f t="array" ref="X64">[1]!propssi("S","Q",1,"T",Y64,$W$1)/1000</f>
        <v>1.75693170955347</v>
      </c>
      <c r="Y64">
        <v>334</v>
      </c>
      <c r="Z64" cm="1">
        <f t="array" ref="Z64">[1]!propssi("S","Q",0,"T",AB64,$Z$1)/1000</f>
        <v>1.2586757101137678</v>
      </c>
      <c r="AA64" cm="1">
        <f t="array" ref="AA64">[1]!propssi("S","Q",1,"T",AB64,$Z$1)/1000</f>
        <v>1.8018648756915812</v>
      </c>
      <c r="AB64">
        <v>334</v>
      </c>
    </row>
    <row r="65" spans="23:28" x14ac:dyDescent="0.3">
      <c r="W65" cm="1">
        <f t="array" ref="W65">[1]!propssi("S","Q",0,"T",Y65,$W$1)/1000</f>
        <v>1.2496425161981703</v>
      </c>
      <c r="X65" cm="1">
        <f t="array" ref="X65">[1]!propssi("S","Q",1,"T",Y65,$W$1)/1000</f>
        <v>1.7573461388841234</v>
      </c>
      <c r="Y65">
        <v>335</v>
      </c>
      <c r="Z65" cm="1">
        <f t="array" ref="Z65">[1]!propssi("S","Q",0,"T",AB65,$Z$1)/1000</f>
        <v>1.2628128183590315</v>
      </c>
      <c r="AA65" cm="1">
        <f t="array" ref="AA65">[1]!propssi("S","Q",1,"T",AB65,$Z$1)/1000</f>
        <v>1.8020225377166401</v>
      </c>
      <c r="AB65">
        <v>335</v>
      </c>
    </row>
    <row r="66" spans="23:28" x14ac:dyDescent="0.3">
      <c r="W66" cm="1">
        <f t="array" ref="W66">[1]!propssi("S","Q",0,"T",Y66,$W$1)/1000</f>
        <v>1.253460097919872</v>
      </c>
      <c r="X66" cm="1">
        <f t="array" ref="X66">[1]!propssi("S","Q",1,"T",Y66,$W$1)/1000</f>
        <v>1.7577638403163134</v>
      </c>
      <c r="Y66">
        <v>336</v>
      </c>
      <c r="Z66" cm="1">
        <f t="array" ref="Z66">[1]!propssi("S","Q",0,"T",AB66,$Z$1)/1000</f>
        <v>1.2669481076524887</v>
      </c>
      <c r="AA66" cm="1">
        <f t="array" ref="AA66">[1]!propssi("S","Q",1,"T",AB66,$Z$1)/1000</f>
        <v>1.8021830736416513</v>
      </c>
      <c r="AB66">
        <v>336</v>
      </c>
    </row>
    <row r="67" spans="23:28" x14ac:dyDescent="0.3">
      <c r="W67" cm="1">
        <f t="array" ref="W67">[1]!propssi("S","Q",0,"T",Y67,$W$1)/1000</f>
        <v>1.2572726125184119</v>
      </c>
      <c r="X67" cm="1">
        <f t="array" ref="X67">[1]!propssi("S","Q",1,"T",Y67,$W$1)/1000</f>
        <v>1.7581846378017356</v>
      </c>
      <c r="Y67">
        <v>337</v>
      </c>
      <c r="Z67" cm="1">
        <f t="array" ref="Z67">[1]!propssi("S","Q",0,"T",AB67,$Z$1)/1000</f>
        <v>1.2710816847460729</v>
      </c>
      <c r="AA67" cm="1">
        <f t="array" ref="AA67">[1]!propssi("S","Q",1,"T",AB67,$Z$1)/1000</f>
        <v>1.8023462423545655</v>
      </c>
      <c r="AB67">
        <v>337</v>
      </c>
    </row>
    <row r="68" spans="23:28" x14ac:dyDescent="0.3">
      <c r="W68" cm="1">
        <f t="array" ref="W68">[1]!propssi("S","Q",0,"T",Y68,$W$1)/1000</f>
        <v>1.2610801577251685</v>
      </c>
      <c r="X68" cm="1">
        <f t="array" ref="X68">[1]!propssi("S","Q",1,"T",Y68,$W$1)/1000</f>
        <v>1.7586083548979556</v>
      </c>
      <c r="Y68">
        <v>338</v>
      </c>
      <c r="Z68" cm="1">
        <f t="array" ref="Z68">[1]!propssi("S","Q",0,"T",AB68,$Z$1)/1000</f>
        <v>1.2752136586382534</v>
      </c>
      <c r="AA68" cm="1">
        <f t="array" ref="AA68">[1]!propssi("S","Q",1,"T",AB68,$Z$1)/1000</f>
        <v>1.8025118006445451</v>
      </c>
      <c r="AB68">
        <v>338</v>
      </c>
    </row>
    <row r="69" spans="23:28" x14ac:dyDescent="0.3">
      <c r="W69" cm="1">
        <f t="array" ref="W69">[1]!propssi("S","Q",0,"T",Y69,$W$1)/1000</f>
        <v>1.2648828322888912</v>
      </c>
      <c r="X69" cm="1">
        <f t="array" ref="X69">[1]!propssi("S","Q",1,"T",Y69,$W$1)/1000</f>
        <v>1.7590348146546844</v>
      </c>
      <c r="Y69">
        <v>339</v>
      </c>
      <c r="Z69" cm="1">
        <f t="array" ref="Z69">[1]!propssi("S","Q",0,"T",AB69,$Z$1)/1000</f>
        <v>1.2793441407005086</v>
      </c>
      <c r="AA69" cm="1">
        <f t="array" ref="AA69">[1]!propssi("S","Q",1,"T",AB69,$Z$1)/1000</f>
        <v>1.8026795030335523</v>
      </c>
      <c r="AB69">
        <v>339</v>
      </c>
    </row>
    <row r="70" spans="23:28" x14ac:dyDescent="0.3">
      <c r="W70" cm="1">
        <f t="array" ref="W70">[1]!propssi("S","Q",0,"T",Y70,$W$1)/1000</f>
        <v>1.2686807360261754</v>
      </c>
      <c r="X70" cm="1">
        <f t="array" ref="X70">[1]!propssi("S","Q",1,"T",Y70,$W$1)/1000</f>
        <v>1.7594638394976234</v>
      </c>
      <c r="Y70">
        <v>340</v>
      </c>
      <c r="Z70" cm="1">
        <f t="array" ref="Z70">[1]!propssi("S","Q",0,"T",AB70,$Z$1)/1000</f>
        <v>1.2834732448095265</v>
      </c>
      <c r="AA70" cm="1">
        <f t="array" ref="AA70">[1]!propssi("S","Q",1,"T",AB70,$Z$1)/1000</f>
        <v>1.8028491016008854</v>
      </c>
      <c r="AB70">
        <v>340</v>
      </c>
    </row>
    <row r="71" spans="23:28" x14ac:dyDescent="0.3">
      <c r="W71" cm="1">
        <f t="array" ref="W71">[1]!propssi("S","Q",0,"T",Y71,$W$1)/1000</f>
        <v>1.2724739698739582</v>
      </c>
      <c r="X71" cm="1">
        <f t="array" ref="X71">[1]!propssi("S","Q",1,"T",Y71,$W$1)/1000</f>
        <v>1.7598952511096366</v>
      </c>
      <c r="Y71">
        <v>341</v>
      </c>
      <c r="Z71" cm="1">
        <f t="array" ref="Z71">[1]!propssi("S","Q",0,"T",AB71,$Z$1)/1000</f>
        <v>1.2876010874854906</v>
      </c>
      <c r="AA71" cm="1">
        <f t="array" ref="AA71">[1]!propssi("S","Q",1,"T",AB71,$Z$1)/1000</f>
        <v>1.8030203458001175</v>
      </c>
      <c r="AB71">
        <v>341</v>
      </c>
    </row>
    <row r="72" spans="23:28" x14ac:dyDescent="0.3">
      <c r="W72" cm="1">
        <f t="array" ref="W72">[1]!propssi("S","Q",0,"T",Y72,$W$1)/1000</f>
        <v>1.276262635944196</v>
      </c>
      <c r="X72" cm="1">
        <f t="array" ref="X72">[1]!propssi("S","Q",1,"T",Y72,$W$1)/1000</f>
        <v>1.7603288703090998</v>
      </c>
      <c r="Y72">
        <v>342</v>
      </c>
      <c r="Z72" cm="1">
        <f t="array" ref="Z72">[1]!propssi("S","Q",0,"T",AB72,$Z$1)/1000</f>
        <v>1.2917277880368716</v>
      </c>
      <c r="AA72" cm="1">
        <f t="array" ref="AA72">[1]!propssi("S","Q",1,"T",AB72,$Z$1)/1000</f>
        <v>1.8031929822678623</v>
      </c>
      <c r="AB72">
        <v>342</v>
      </c>
    </row>
    <row r="73" spans="23:28" x14ac:dyDescent="0.3">
      <c r="W73" cm="1">
        <f t="array" ref="W73">[1]!propssi("S","Q",0,"T",Y73,$W$1)/1000</f>
        <v>1.2800468375808449</v>
      </c>
      <c r="X73" cm="1">
        <f t="array" ref="X73">[1]!propssi("S","Q",1,"T",Y73,$W$1)/1000</f>
        <v>1.7607645169251565</v>
      </c>
      <c r="Y73">
        <v>343</v>
      </c>
      <c r="Z73" cm="1">
        <f t="array" ref="Z73">[1]!propssi("S","Q",0,"T",AB73,$Z$1)/1000</f>
        <v>1.2958534687121326</v>
      </c>
      <c r="AA73" cm="1">
        <f t="array" ref="AA73">[1]!propssi("S","Q",1,"T",AB73,$Z$1)/1000</f>
        <v>1.80336675462372</v>
      </c>
      <c r="AB73">
        <v>343</v>
      </c>
    </row>
    <row r="74" spans="23:28" x14ac:dyDescent="0.3">
      <c r="W74" cm="1">
        <f t="array" ref="W74">[1]!propssi("S","Q",0,"T",Y74,$W$1)/1000</f>
        <v>1.2838266794192421</v>
      </c>
      <c r="X74" cm="1">
        <f t="array" ref="X74">[1]!propssi("S","Q",1,"T",Y74,$W$1)/1000</f>
        <v>1.7612020096696366</v>
      </c>
      <c r="Y74">
        <v>344</v>
      </c>
      <c r="Z74" cm="1">
        <f t="array" ref="Z74">[1]!propssi("S","Q",0,"T",AB74,$Z$1)/1000</f>
        <v>1.2999782548588341</v>
      </c>
      <c r="AA74" cm="1">
        <f t="array" ref="AA74">[1]!propssi("S","Q",1,"T",AB74,$Z$1)/1000</f>
        <v>1.8035414032607426</v>
      </c>
      <c r="AB74">
        <v>344</v>
      </c>
    </row>
    <row r="75" spans="23:28" x14ac:dyDescent="0.3">
      <c r="W75" cm="1">
        <f t="array" ref="W75">[1]!propssi("S","Q",0,"T",Y75,$W$1)/1000</f>
        <v>1.2876022674480709</v>
      </c>
      <c r="X75" cm="1">
        <f t="array" ref="X75">[1]!propssi("S","Q",1,"T",Y75,$W$1)/1000</f>
        <v>1.7616411660054216</v>
      </c>
      <c r="Y75">
        <v>345</v>
      </c>
      <c r="Z75" cm="1">
        <f t="array" ref="Z75">[1]!propssi("S","Q",0,"T",AB75,$Z$1)/1000</f>
        <v>1.3041022750906464</v>
      </c>
      <c r="AA75" cm="1">
        <f t="array" ref="AA75">[1]!propssi("S","Q",1,"T",AB75,$Z$1)/1000</f>
        <v>1.803716665125666</v>
      </c>
      <c r="AB75">
        <v>345</v>
      </c>
    </row>
    <row r="76" spans="23:28" x14ac:dyDescent="0.3">
      <c r="W76" cm="1">
        <f t="array" ref="W76">[1]!propssi("S","Q",0,"T",Y76,$W$1)/1000</f>
        <v>1.2913737090740509</v>
      </c>
      <c r="X76" cm="1">
        <f t="array" ref="X76">[1]!propssi("S","Q",1,"T",Y76,$W$1)/1000</f>
        <v>1.7620818020109525</v>
      </c>
      <c r="Y76">
        <v>346</v>
      </c>
      <c r="Z76" cm="1">
        <f t="array" ref="Z76">[1]!propssi("S","Q",0,"T",AB76,$Z$1)/1000</f>
        <v>1.3082256614627878</v>
      </c>
      <c r="AA76" cm="1">
        <f t="array" ref="AA76">[1]!propssi("S","Q",1,"T",AB76,$Z$1)/1000</f>
        <v>1.8038922734881149</v>
      </c>
      <c r="AB76">
        <v>346</v>
      </c>
    </row>
    <row r="77" spans="23:28" x14ac:dyDescent="0.3">
      <c r="W77" cm="1">
        <f t="array" ref="W77">[1]!propssi("S","Q",0,"T",Y77,$W$1)/1000</f>
        <v>1.295141113189485</v>
      </c>
      <c r="X77" cm="1">
        <f t="array" ref="X77">[1]!propssi("S","Q",1,"T",Y77,$W$1)/1000</f>
        <v>1.7625237322405878</v>
      </c>
      <c r="Y77">
        <v>347</v>
      </c>
      <c r="Z77" cm="1">
        <f t="array" ref="Z77">[1]!propssi("S","Q",0,"T",AB77,$Z$1)/1000</f>
        <v>1.3123485496565237</v>
      </c>
      <c r="AA77" cm="1">
        <f t="array" ref="AA77">[1]!propssi("S","Q",1,"T",AB77,$Z$1)/1000</f>
        <v>1.8040679576979246</v>
      </c>
      <c r="AB77">
        <v>347</v>
      </c>
    </row>
    <row r="78" spans="23:28" x14ac:dyDescent="0.3">
      <c r="W78" cm="1">
        <f t="array" ref="W78">[1]!propssi("S","Q",0,"T",Y78,$W$1)/1000</f>
        <v>1.2989045902428917</v>
      </c>
      <c r="X78" cm="1">
        <f t="array" ref="X78">[1]!propssi("S","Q",1,"T",Y78,$W$1)/1000</f>
        <v>1.7629667695805267</v>
      </c>
      <c r="Y78">
        <v>348</v>
      </c>
      <c r="Z78" cm="1">
        <f t="array" ref="Z78">[1]!propssi("S","Q",0,"T",AB78,$Z$1)/1000</f>
        <v>1.3164710791733187</v>
      </c>
      <c r="AA78" cm="1">
        <f t="array" ref="AA78">[1]!propssi("S","Q",1,"T",AB78,$Z$1)/1000</f>
        <v>1.8042434429296261</v>
      </c>
      <c r="AB78">
        <v>348</v>
      </c>
    </row>
    <row r="79" spans="23:28" x14ac:dyDescent="0.3">
      <c r="W79" cm="1">
        <f t="array" ref="W79">[1]!propssi("S","Q",0,"T",Y79,$W$1)/1000</f>
        <v>1.3026642523128524</v>
      </c>
      <c r="X79" cm="1">
        <f t="array" ref="X79">[1]!propssi("S","Q",1,"T",Y79,$W$1)/1000</f>
        <v>1.7634107250999391</v>
      </c>
      <c r="Y79">
        <v>349</v>
      </c>
      <c r="Z79" cm="1">
        <f t="array" ref="Z79">[1]!propssi("S","Q",0,"T",AB79,$Z$1)/1000</f>
        <v>1.3205933935393857</v>
      </c>
      <c r="AA79" cm="1">
        <f t="array" ref="AA79">[1]!propssi("S","Q",1,"T",AB79,$Z$1)/1000</f>
        <v>1.8044184499130991</v>
      </c>
      <c r="AB79">
        <v>349</v>
      </c>
    </row>
    <row r="80" spans="23:28" x14ac:dyDescent="0.3">
      <c r="W80" cm="1">
        <f t="array" ref="W80">[1]!propssi("S","Q",0,"T",Y80,$W$1)/1000</f>
        <v>1.3064202131853251</v>
      </c>
      <c r="X80" cm="1">
        <f t="array" ref="X80">[1]!propssi("S","Q",1,"T",Y80,$W$1)/1000</f>
        <v>1.7638554078969617</v>
      </c>
      <c r="Y80">
        <v>350</v>
      </c>
      <c r="Z80" cm="1">
        <f t="array" ref="Z80">[1]!propssi("S","Q",0,"T",AB80,$Z$1)/1000</f>
        <v>1.3247156405213483</v>
      </c>
      <c r="AA80" cm="1">
        <f t="array" ref="AA80">[1]!propssi("S","Q",1,"T",AB80,$Z$1)/1000</f>
        <v>1.8045926946492554</v>
      </c>
      <c r="AB80">
        <v>350</v>
      </c>
    </row>
    <row r="81" spans="23:28" x14ac:dyDescent="0.3">
      <c r="W81" cm="1">
        <f t="array" ref="W81">[1]!propssi("S","Q",0,"T",Y81,$W$1)/1000</f>
        <v>1.3101725884345881</v>
      </c>
      <c r="X81" cm="1">
        <f t="array" ref="X81">[1]!propssi("S","Q",1,"T",Y81,$W$1)/1000</f>
        <v>1.7643006249391882</v>
      </c>
      <c r="Y81">
        <v>351</v>
      </c>
      <c r="Z81" cm="1">
        <f t="array" ref="Z81">[1]!propssi("S","Q",0,"T",AB81,$Z$1)/1000</f>
        <v>1.328837972353859</v>
      </c>
      <c r="AA81" cm="1">
        <f t="array" ref="AA81">[1]!propssi("S","Q",1,"T",AB81,$Z$1)/1000</f>
        <v>1.8047658881095741</v>
      </c>
      <c r="AB81">
        <v>351</v>
      </c>
    </row>
    <row r="82" spans="23:28" x14ac:dyDescent="0.3">
      <c r="W82" cm="1">
        <f t="array" ref="W82">[1]!propssi("S","Q",0,"T",Y82,$W$1)/1000</f>
        <v>1.313921495508096</v>
      </c>
      <c r="X82" cm="1">
        <f t="array" ref="X82">[1]!propssi("S","Q",1,"T",Y82,$W$1)/1000</f>
        <v>1.7647461808982305</v>
      </c>
      <c r="Y82">
        <v>352</v>
      </c>
      <c r="Z82" cm="1">
        <f t="array" ref="Z82">[1]!propssi("S","Q",0,"T",AB82,$Z$1)/1000</f>
        <v>1.3329605459800713</v>
      </c>
      <c r="AA82" cm="1">
        <f t="array" ref="AA82">[1]!propssi("S","Q",1,"T",AB82,$Z$1)/1000</f>
        <v>1.8049377359181551</v>
      </c>
      <c r="AB82">
        <v>352</v>
      </c>
    </row>
    <row r="83" spans="23:28" x14ac:dyDescent="0.3">
      <c r="W83" cm="1">
        <f t="array" ref="W83">[1]!propssi("S","Q",0,"T",Y83,$W$1)/1000</f>
        <v>1.3176670538154613</v>
      </c>
      <c r="X83" cm="1">
        <f t="array" ref="X83">[1]!propssi("S","Q",1,"T",Y83,$W$1)/1000</f>
        <v>1.765191877977935</v>
      </c>
      <c r="Y83">
        <v>353</v>
      </c>
      <c r="Z83" cm="1">
        <f t="array" ref="Z83">[1]!propssi("S","Q",0,"T",AB83,$Z$1)/1000</f>
        <v>1.3370835233059348</v>
      </c>
      <c r="AA83" cm="1">
        <f t="array" ref="AA83">[1]!propssi("S","Q",1,"T",AB83,$Z$1)/1000</f>
        <v>1.8051079380148651</v>
      </c>
      <c r="AB83">
        <v>353</v>
      </c>
    </row>
    <row r="84" spans="23:28" x14ac:dyDescent="0.3">
      <c r="W84" cm="1">
        <f t="array" ref="W84">[1]!propssi("S","Q",0,"T",Y84,$W$1)/1000</f>
        <v>1.3214093848218289</v>
      </c>
      <c r="X84" cm="1">
        <f t="array" ref="X84">[1]!propssi("S","Q",1,"T",Y84,$W$1)/1000</f>
        <v>1.7656375157357678</v>
      </c>
      <c r="Y84">
        <v>354</v>
      </c>
      <c r="Z84" cm="1">
        <f t="array" ref="Z84">[1]!propssi("S","Q",0,"T",AB84,$Z$1)/1000</f>
        <v>1.3412070714693707</v>
      </c>
      <c r="AA84" cm="1">
        <f t="array" ref="AA84">[1]!propssi("S","Q",1,"T",AB84,$Z$1)/1000</f>
        <v>1.8052761882979862</v>
      </c>
      <c r="AB84">
        <v>354</v>
      </c>
    </row>
    <row r="85" spans="23:28" x14ac:dyDescent="0.3">
      <c r="W85" cm="1">
        <f t="array" ref="W85">[1]!propssi("S","Q",0,"T",Y85,$W$1)/1000</f>
        <v>1.3251486121459628</v>
      </c>
      <c r="X85" cm="1">
        <f t="array" ref="X85">[1]!propssi("S","Q",1,"T",Y85,$W$1)/1000</f>
        <v>1.7660828908968944</v>
      </c>
      <c r="Y85">
        <v>355</v>
      </c>
      <c r="Z85" cm="1">
        <f t="array" ref="Z85">[1]!propssi("S","Q",0,"T",AB85,$Z$1)/1000</f>
        <v>1.3453313631255299</v>
      </c>
      <c r="AA85" cm="1">
        <f t="array" ref="AA85">[1]!propssi("S","Q",1,"T",AB85,$Z$1)/1000</f>
        <v>1.8054421742446864</v>
      </c>
      <c r="AB85">
        <v>355</v>
      </c>
    </row>
    <row r="86" spans="23:28" x14ac:dyDescent="0.3">
      <c r="W86" cm="1">
        <f t="array" ref="W86">[1]!propssi("S","Q",0,"T",Y86,$W$1)/1000</f>
        <v>1.3288848616633187</v>
      </c>
      <c r="X86" cm="1">
        <f t="array" ref="X86">[1]!propssi("S","Q",1,"T",Y86,$W$1)/1000</f>
        <v>1.7665277971603934</v>
      </c>
      <c r="Y86">
        <v>356</v>
      </c>
      <c r="Z86" cm="1">
        <f t="array" ref="Z86">[1]!propssi("S","Q",0,"T",AB86,$Z$1)/1000</f>
        <v>1.3494565767493525</v>
      </c>
      <c r="AA86" cm="1">
        <f t="array" ref="AA86">[1]!propssi("S","Q",1,"T",AB86,$Z$1)/1000</f>
        <v>1.8056055765073638</v>
      </c>
      <c r="AB86">
        <v>356</v>
      </c>
    </row>
    <row r="87" spans="23:28" x14ac:dyDescent="0.3">
      <c r="W87" cm="1">
        <f t="array" ref="W87">[1]!propssi("S","Q",0,"T",Y87,$W$1)/1000</f>
        <v>1.3326182616144591</v>
      </c>
      <c r="X87" cm="1">
        <f t="array" ref="X87">[1]!propssi("S","Q",1,"T",Y87,$W$1)/1000</f>
        <v>1.7669720249970484</v>
      </c>
      <c r="Y87">
        <v>357</v>
      </c>
      <c r="Z87" cm="1">
        <f t="array" ref="Z87">[1]!propssi("S","Q",0,"T",AB87,$Z$1)/1000</f>
        <v>1.3535828969568919</v>
      </c>
      <c r="AA87" cm="1">
        <f t="array" ref="AA87">[1]!propssi("S","Q",1,"T",AB87,$Z$1)/1000</f>
        <v>1.8057660684838559</v>
      </c>
      <c r="AB87">
        <v>357</v>
      </c>
    </row>
    <row r="88" spans="23:28" x14ac:dyDescent="0.3">
      <c r="W88" cm="1">
        <f t="array" ref="W88">[1]!propssi("S","Q",0,"T",Y88,$W$1)/1000</f>
        <v>1.3363489427191748</v>
      </c>
      <c r="X88" cm="1">
        <f t="array" ref="X88">[1]!propssi("S","Q",1,"T",Y88,$W$1)/1000</f>
        <v>1.7674153614380719</v>
      </c>
      <c r="Y88">
        <v>358</v>
      </c>
      <c r="Z88" cm="1">
        <f t="array" ref="Z88">[1]!propssi("S","Q",0,"T",AB88,$Z$1)/1000</f>
        <v>1.35771051484688</v>
      </c>
      <c r="AA88" cm="1">
        <f t="array" ref="AA88">[1]!propssi("S","Q",1,"T",AB88,$Z$1)/1000</f>
        <v>1.8059233158591796</v>
      </c>
      <c r="AB88">
        <v>358</v>
      </c>
    </row>
    <row r="89" spans="23:28" x14ac:dyDescent="0.3">
      <c r="W89" cm="1">
        <f t="array" ref="W89">[1]!propssi("S","Q",0,"T",Y89,$W$1)/1000</f>
        <v>1.3400770382966898</v>
      </c>
      <c r="X89" cm="1">
        <f t="array" ref="X89">[1]!propssi("S","Q",1,"T",Y89,$W$1)/1000</f>
        <v>1.7678575898541224</v>
      </c>
      <c r="Y89">
        <v>359</v>
      </c>
      <c r="Z89" cm="1">
        <f t="array" ref="Z89">[1]!propssi("S","Q",0,"T",AB89,$Z$1)/1000</f>
        <v>1.3618396283642797</v>
      </c>
      <c r="AA89" cm="1">
        <f t="array" ref="AA89">[1]!propssi("S","Q",1,"T",AB89,$Z$1)/1000</f>
        <v>1.8060769761163269</v>
      </c>
      <c r="AB89">
        <v>359</v>
      </c>
    </row>
    <row r="90" spans="23:28" x14ac:dyDescent="0.3">
      <c r="W90" cm="1">
        <f t="array" ref="W90">[1]!propssi("S","Q",0,"T",Y90,$W$1)/1000</f>
        <v>1.3438026843923925</v>
      </c>
      <c r="X90" cm="1">
        <f t="array" ref="X90">[1]!propssi("S","Q",1,"T",Y90,$W$1)/1000</f>
        <v>1.7682984897238663</v>
      </c>
      <c r="Y90">
        <v>360</v>
      </c>
      <c r="Z90" cm="1">
        <f t="array" ref="Z90">[1]!propssi("S","Q",0,"T",AB90,$Z$1)/1000</f>
        <v>1.3659704426876282</v>
      </c>
      <c r="AA90" cm="1">
        <f t="array" ref="AA90">[1]!propssi("S","Q",1,"T",AB90,$Z$1)/1000</f>
        <v>1.8062266980133204</v>
      </c>
      <c r="AB90">
        <v>360</v>
      </c>
    </row>
    <row r="91" spans="23:28" x14ac:dyDescent="0.3">
      <c r="W91" cm="1">
        <f t="array" ref="W91">[1]!propssi("S","Q",0,"T",Y91,$W$1)/1000</f>
        <v>1.3475260199115398</v>
      </c>
      <c r="X91" cm="1">
        <f t="array" ref="X91">[1]!propssi("S","Q",1,"T",Y91,$W$1)/1000</f>
        <v>1.7687378363913209</v>
      </c>
      <c r="Y91">
        <v>361</v>
      </c>
      <c r="Z91" cm="1">
        <f t="array" ref="Z91">[1]!propssi("S","Q",0,"T",AB91,$Z$1)/1000</f>
        <v>1.3701031706422697</v>
      </c>
      <c r="AA91" cm="1">
        <f t="array" ref="AA91">[1]!propssi("S","Q",1,"T",AB91,$Z$1)/1000</f>
        <v>1.8063721210234709</v>
      </c>
      <c r="AB91">
        <v>361</v>
      </c>
    </row>
    <row r="92" spans="23:28" x14ac:dyDescent="0.3">
      <c r="W92" cm="1">
        <f t="array" ref="W92">[1]!propssi("S","Q",0,"T",Y92,$W$1)/1000</f>
        <v>1.3512471867604432</v>
      </c>
      <c r="X92" cm="1">
        <f t="array" ref="X92">[1]!propssi("S","Q",1,"T",Y92,$W$1)/1000</f>
        <v>1.7691754008111384</v>
      </c>
      <c r="Y92">
        <v>362</v>
      </c>
      <c r="Z92" cm="1">
        <f t="array" ref="Z92">[1]!propssi("S","Q",0,"T",AB92,$Z$1)/1000</f>
        <v>1.3742380331417083</v>
      </c>
      <c r="AA92" cm="1">
        <f t="array" ref="AA92">[1]!propssi("S","Q",1,"T",AB92,$Z$1)/1000</f>
        <v>1.8065128747354358</v>
      </c>
      <c r="AB92">
        <v>362</v>
      </c>
    </row>
    <row r="93" spans="23:28" x14ac:dyDescent="0.3">
      <c r="W93" cm="1">
        <f t="array" ref="W93">[1]!propssi("S","Q",0,"T",Y93,$W$1)/1000</f>
        <v>1.3549663299956802</v>
      </c>
      <c r="X93" cm="1">
        <f t="array" ref="X93">[1]!propssi("S","Q",1,"T",Y93,$W$1)/1000</f>
        <v>1.7696109492809071</v>
      </c>
      <c r="Y93">
        <v>363</v>
      </c>
      <c r="Z93" cm="1">
        <f t="array" ref="Z93">[1]!propssi("S","Q",0,"T",AB93,$Z$1)/1000</f>
        <v>1.3783752596596175</v>
      </c>
      <c r="AA93" cm="1">
        <f t="array" ref="AA93">[1]!propssi("S","Q",1,"T",AB93,$Z$1)/1000</f>
        <v>1.8066485782093198</v>
      </c>
      <c r="AB93">
        <v>363</v>
      </c>
    </row>
    <row r="94" spans="23:28" x14ac:dyDescent="0.3">
      <c r="W94" cm="1">
        <f t="array" ref="W94">[1]!propssi("S","Q",0,"T",Y94,$W$1)/1000</f>
        <v>1.3586835979819074</v>
      </c>
      <c r="X94" cm="1">
        <f t="array" ref="X94">[1]!propssi("S","Q",1,"T",Y94,$W$1)/1000</f>
        <v>1.7700442431595043</v>
      </c>
      <c r="Y94">
        <v>364</v>
      </c>
      <c r="Z94" cm="1">
        <f t="array" ref="Z94">[1]!propssi("S","Q",0,"T",AB94,$Z$1)/1000</f>
        <v>1.3825150887352546</v>
      </c>
      <c r="AA94" cm="1">
        <f t="array" ref="AA94">[1]!propssi("S","Q",1,"T",AB94,$Z$1)/1000</f>
        <v>1.8067788392846318</v>
      </c>
      <c r="AB94">
        <v>364</v>
      </c>
    </row>
    <row r="95" spans="23:28" x14ac:dyDescent="0.3">
      <c r="W95" cm="1">
        <f t="array" ref="W95">[1]!propssi("S","Q",0,"T",Y95,$W$1)/1000</f>
        <v>1.3623991425589403</v>
      </c>
      <c r="X95" cm="1">
        <f t="array" ref="X95">[1]!propssi("S","Q",1,"T",Y95,$W$1)/1000</f>
        <v>1.7704750385704127</v>
      </c>
      <c r="Y95">
        <v>365</v>
      </c>
      <c r="Z95" cm="1">
        <f t="array" ref="Z95">[1]!propssi("S","Q",0,"T",AB95,$Z$1)/1000</f>
        <v>1.3866577685153931</v>
      </c>
      <c r="AA95" cm="1">
        <f t="array" ref="AA95">[1]!propssi("S","Q",1,"T",AB95,$Z$1)/1000</f>
        <v>1.8069032538354235</v>
      </c>
      <c r="AB95">
        <v>365</v>
      </c>
    </row>
    <row r="96" spans="23:28" x14ac:dyDescent="0.3">
      <c r="W96" cm="1">
        <f t="array" ref="W96">[1]!propssi("S","Q",0,"T",Y96,$W$1)/1000</f>
        <v>1.366113119218791</v>
      </c>
      <c r="X96" cm="1">
        <f t="array" ref="X96">[1]!propssi("S","Q",1,"T",Y96,$W$1)/1000</f>
        <v>1.7709030860888619</v>
      </c>
      <c r="Y96">
        <v>366</v>
      </c>
      <c r="Z96" cm="1">
        <f t="array" ref="Z96">[1]!propssi("S","Q",0,"T",AB96,$Z$1)/1000</f>
        <v>1.3908035573361905</v>
      </c>
      <c r="AA96" cm="1">
        <f t="array" ref="AA96">[1]!propssi("S","Q",1,"T",AB96,$Z$1)/1000</f>
        <v>1.807021404967444</v>
      </c>
      <c r="AB96">
        <v>366</v>
      </c>
    </row>
    <row r="97" spans="23:28" x14ac:dyDescent="0.3">
      <c r="W97" cm="1">
        <f t="array" ref="W97">[1]!propssi("S","Q",0,"T",Y97,$W$1)/1000</f>
        <v>1.3698256872934167</v>
      </c>
      <c r="X97" cm="1">
        <f t="array" ref="X97">[1]!propssi("S","Q",1,"T",Y97,$W$1)/1000</f>
        <v>1.771328130411514</v>
      </c>
      <c r="Y97">
        <v>367</v>
      </c>
      <c r="Z97" cm="1">
        <f t="array" ref="Z97">[1]!propssi("S","Q",0,"T",AB97,$Z$1)/1000</f>
        <v>1.3949527243488165</v>
      </c>
      <c r="AA97" cm="1">
        <f t="array" ref="AA97">[1]!propssi("S","Q",1,"T",AB97,$Z$1)/1000</f>
        <v>1.8071328621514642</v>
      </c>
      <c r="AB97">
        <v>367</v>
      </c>
    </row>
    <row r="98" spans="23:28" x14ac:dyDescent="0.3">
      <c r="W98" cm="1">
        <f t="array" ref="W98">[1]!propssi("S","Q",0,"T",Y98,$W$1)/1000</f>
        <v>1.3735370101540452</v>
      </c>
      <c r="X98" cm="1">
        <f t="array" ref="X98">[1]!propssi("S","Q",1,"T",Y98,$W$1)/1000</f>
        <v>1.7717499100073502</v>
      </c>
      <c r="Y98">
        <v>368</v>
      </c>
      <c r="Z98" cm="1">
        <f t="array" ref="Z98">[1]!propssi("S","Q",0,"T",AB98,$Z$1)/1000</f>
        <v>1.3991055501931324</v>
      </c>
      <c r="AA98" cm="1">
        <f t="array" ref="AA98">[1]!propssi("S","Q",1,"T",AB98,$Z$1)/1000</f>
        <v>1.8072371802863194</v>
      </c>
      <c r="AB98">
        <v>368</v>
      </c>
    </row>
    <row r="99" spans="23:28" x14ac:dyDescent="0.3">
      <c r="W99" cm="1">
        <f t="array" ref="W99">[1]!propssi("S","Q",0,"T",Y99,$W$1)/1000</f>
        <v>1.3772472554229509</v>
      </c>
      <c r="X99" cm="1">
        <f t="array" ref="X99">[1]!propssi("S","Q",1,"T",Y99,$W$1)/1000</f>
        <v>1.7721681567482219</v>
      </c>
      <c r="Y99">
        <v>369</v>
      </c>
      <c r="Z99" cm="1">
        <f t="array" ref="Z99">[1]!propssi("S","Q",0,"T",AB99,$Z$1)/1000</f>
        <v>1.4032623277241805</v>
      </c>
      <c r="AA99" cm="1">
        <f t="array" ref="AA99">[1]!propssi("S","Q",1,"T",AB99,$Z$1)/1000</f>
        <v>1.8073338986843317</v>
      </c>
      <c r="AB99">
        <v>369</v>
      </c>
    </row>
    <row r="100" spans="23:28" x14ac:dyDescent="0.3">
      <c r="W100" cm="1">
        <f t="array" ref="W100">[1]!propssi("S","Q",0,"T",Y100,$W$1)/1000</f>
        <v>1.3809565951987335</v>
      </c>
      <c r="X100" cm="1">
        <f t="array" ref="X100">[1]!propssi("S","Q",1,"T",Y100,$W$1)/1000</f>
        <v>1.7725825955175092</v>
      </c>
      <c r="Y100">
        <v>370</v>
      </c>
      <c r="Z100" cm="1">
        <f t="array" ref="Z100">[1]!propssi("S","Q",0,"T",AB100,$Z$1)/1000</f>
        <v>1.4074233627968731</v>
      </c>
      <c r="AA100" cm="1">
        <f t="array" ref="AA100">[1]!propssi("S","Q",1,"T",AB100,$Z$1)/1000</f>
        <v>1.8074225399709543</v>
      </c>
      <c r="AB100">
        <v>370</v>
      </c>
    </row>
    <row r="101" spans="23:28" x14ac:dyDescent="0.3">
      <c r="W101" cm="1">
        <f t="array" ref="W101">[1]!propssi("S","Q",0,"T",Y101,$W$1)/1000</f>
        <v>1.3846652062961544</v>
      </c>
      <c r="X101" cm="1">
        <f t="array" ref="X101">[1]!propssi("S","Q",1,"T",Y101,$W$1)/1000</f>
        <v>1.7729929437950387</v>
      </c>
      <c r="Y101">
        <v>371</v>
      </c>
      <c r="Z101" cm="1">
        <f t="array" ref="Z101">[1]!propssi("S","Q",0,"T",AB101,$Z$1)/1000</f>
        <v>1.411588975114888</v>
      </c>
      <c r="AA101" cm="1">
        <f t="array" ref="AA101">[1]!propssi("S","Q",1,"T",AB101,$Z$1)/1000</f>
        <v>1.8075026088893753</v>
      </c>
      <c r="AB101">
        <v>371</v>
      </c>
    </row>
    <row r="102" spans="23:28" x14ac:dyDescent="0.3">
      <c r="W102" cm="1">
        <f t="array" ref="W102">[1]!propssi("S","Q",0,"T",Y102,$W$1)/1000</f>
        <v>1.3883732705017666</v>
      </c>
      <c r="X102" cm="1">
        <f t="array" ref="X102">[1]!propssi("S","Q",1,"T",Y102,$W$1)/1000</f>
        <v>1.77339891121636</v>
      </c>
      <c r="Y102">
        <v>372</v>
      </c>
      <c r="Z102" cm="1">
        <f t="array" ref="Z102">[1]!propssi("S","Q",0,"T",AB102,$Z$1)/1000</f>
        <v>1.4157594991505864</v>
      </c>
      <c r="AA102" cm="1">
        <f t="array" ref="AA102">[1]!propssi("S","Q",1,"T",AB102,$Z$1)/1000</f>
        <v>1.8075735909996822</v>
      </c>
      <c r="AB102">
        <v>372</v>
      </c>
    </row>
    <row r="103" spans="23:28" x14ac:dyDescent="0.3">
      <c r="W103" cm="1">
        <f t="array" ref="W103">[1]!propssi("S","Q",0,"T",Y103,$W$1)/1000</f>
        <v>1.3920809748466492</v>
      </c>
      <c r="X103" cm="1">
        <f t="array" ref="X103">[1]!propssi("S","Q",1,"T",Y103,$W$1)/1000</f>
        <v>1.7738001991042498</v>
      </c>
      <c r="Y103">
        <v>373</v>
      </c>
      <c r="Z103" cm="1">
        <f t="array" ref="Z103">[1]!propssi("S","Q",0,"T",AB103,$Z$1)/1000</f>
        <v>1.419935285143616</v>
      </c>
      <c r="AA103" cm="1">
        <f t="array" ref="AA103">[1]!propssi("S","Q",1,"T",AB103,$Z$1)/1000</f>
        <v>1.8076349512607821</v>
      </c>
      <c r="AB103">
        <v>373</v>
      </c>
    </row>
    <row r="104" spans="23:28" x14ac:dyDescent="0.3">
      <c r="W104" cm="1">
        <f t="array" ref="W104">[1]!propssi("S","Q",0,"T",Y104,$W$1)/1000</f>
        <v>1.395788511897728</v>
      </c>
      <c r="X104" cm="1">
        <f t="array" ref="X104">[1]!propssi("S","Q",1,"T",Y104,$W$1)/1000</f>
        <v>1.7741964999701019</v>
      </c>
      <c r="Y104">
        <v>374</v>
      </c>
      <c r="Z104" cm="1">
        <f t="array" ref="Z104">[1]!propssi("S","Q",0,"T",AB104,$Z$1)/1000</f>
        <v>1.4241167001868922</v>
      </c>
      <c r="AA104" cm="1">
        <f t="array" ref="AA104">[1]!propssi("S","Q",1,"T",AB104,$Z$1)/1000</f>
        <v>1.807686132481704</v>
      </c>
      <c r="AB104">
        <v>374</v>
      </c>
    </row>
    <row r="105" spans="23:28" x14ac:dyDescent="0.3">
      <c r="W105" cm="1">
        <f t="array" ref="W105">[1]!propssi("S","Q",0,"T",Y105,$W$1)/1000</f>
        <v>1.3994960800692851</v>
      </c>
      <c r="X105" cm="1">
        <f t="array" ref="X105">[1]!propssi("S","Q",1,"T",Y105,$W$1)/1000</f>
        <v>1.7745874969826536</v>
      </c>
      <c r="Y105">
        <v>375</v>
      </c>
      <c r="Z105" cm="1">
        <f t="array" ref="Z105">[1]!propssi("S","Q",0,"T",AB105,$Z$1)/1000</f>
        <v>1.4283041294098053</v>
      </c>
      <c r="AA105" cm="1">
        <f t="array" ref="AA105">[1]!propssi("S","Q",1,"T",AB105,$Z$1)/1000</f>
        <v>1.8077265536270712</v>
      </c>
      <c r="AB105">
        <v>375</v>
      </c>
    </row>
    <row r="106" spans="23:28" x14ac:dyDescent="0.3">
      <c r="W106" cm="1">
        <f t="array" ref="W106">[1]!propssi("S","Q",0,"T",Y106,$W$1)/1000</f>
        <v>1.4032038839564369</v>
      </c>
      <c r="X106" cm="1">
        <f t="array" ref="X106">[1]!propssi("S","Q",1,"T",Y106,$W$1)/1000</f>
        <v>1.7749728634012232</v>
      </c>
      <c r="Y106">
        <v>376</v>
      </c>
      <c r="Z106" cm="1">
        <f t="array" ref="Z106">[1]!propssi("S","Q",0,"T",AB106,$Z$1)/1000</f>
        <v>1.4324979772699176</v>
      </c>
      <c r="AA106" cm="1">
        <f t="array" ref="AA106">[1]!propssi("S","Q",1,"T",AB106,$Z$1)/1000</f>
        <v>1.8077556079594324</v>
      </c>
      <c r="AB106">
        <v>376</v>
      </c>
    </row>
    <row r="107" spans="23:28" x14ac:dyDescent="0.3">
      <c r="W107" cm="1">
        <f t="array" ref="W107">[1]!propssi("S","Q",0,"T",Y107,$W$1)/1000</f>
        <v>1.4069121346925726</v>
      </c>
      <c r="X107" cm="1">
        <f t="array" ref="X107">[1]!propssi("S","Q",1,"T",Y107,$W$1)/1000</f>
        <v>1.7753522619703912</v>
      </c>
      <c r="Y107">
        <v>377</v>
      </c>
      <c r="Z107" cm="1">
        <f t="array" ref="Z107">[1]!propssi("S","Q",0,"T",AB107,$Z$1)/1000</f>
        <v>1.4366986689659023</v>
      </c>
      <c r="AA107" cm="1">
        <f t="array" ref="AA107">[1]!propssi("S","Q",1,"T",AB107,$Z$1)/1000</f>
        <v>1.8077726609986231</v>
      </c>
      <c r="AB107">
        <v>377</v>
      </c>
    </row>
    <row r="108" spans="23:28" x14ac:dyDescent="0.3">
      <c r="W108" cm="1">
        <f t="array" ref="W108">[1]!propssi("S","Q",0,"T",Y108,$W$1)/1000</f>
        <v>1.4106210503329268</v>
      </c>
      <c r="X108" cm="1">
        <f t="array" ref="X108">[1]!propssi("S","Q",1,"T",Y108,$W$1)/1000</f>
        <v>1.7757253442726557</v>
      </c>
      <c r="Y108">
        <v>378</v>
      </c>
      <c r="Z108" cm="1">
        <f t="array" ref="Z108">[1]!propssi("S","Q",0,"T",AB108,$Z$1)/1000</f>
        <v>1.440906651986452</v>
      </c>
      <c r="AA108" cm="1">
        <f t="array" ref="AA108">[1]!propssi("S","Q",1,"T",AB108,$Z$1)/1000</f>
        <v>1.8077770482754865</v>
      </c>
      <c r="AB108">
        <v>378</v>
      </c>
    </row>
    <row r="109" spans="23:28" x14ac:dyDescent="0.3">
      <c r="W109" cm="1">
        <f t="array" ref="W109">[1]!propssi("S","Q",0,"T",Y109,$W$1)/1000</f>
        <v>1.4143308562667165</v>
      </c>
      <c r="X109" cm="1">
        <f t="array" ref="X109">[1]!propssi("S","Q",1,"T",Y109,$W$1)/1000</f>
        <v>1.7760917500353401</v>
      </c>
      <c r="Y109">
        <v>379</v>
      </c>
      <c r="Z109" cm="1">
        <f t="array" ref="Z109">[1]!propssi("S","Q",0,"T",AB109,$Z$1)/1000</f>
        <v>1.4451223978119332</v>
      </c>
      <c r="AA109" cm="1">
        <f t="array" ref="AA109">[1]!propssi("S","Q",1,"T",AB109,$Z$1)/1000</f>
        <v>1.8077680728538681</v>
      </c>
      <c r="AB109">
        <v>379</v>
      </c>
    </row>
    <row r="110" spans="23:28" x14ac:dyDescent="0.3">
      <c r="W110" cm="1">
        <f t="array" ref="W110">[1]!propssi("S","Q",0,"T",Y110,$W$1)/1000</f>
        <v>1.4180417856605523</v>
      </c>
      <c r="X110" cm="1">
        <f t="array" ref="X110">[1]!propssi("S","Q",1,"T",Y110,$W$1)/1000</f>
        <v>1.7764511063875457</v>
      </c>
      <c r="Y110">
        <v>380</v>
      </c>
      <c r="Z110" cm="1">
        <f t="array" ref="Z110">[1]!propssi("S","Q",0,"T",AB110,$Z$1)/1000</f>
        <v>1.449346403788218</v>
      </c>
      <c r="AA110" cm="1">
        <f t="array" ref="AA110">[1]!propssi("S","Q",1,"T",AB110,$Z$1)/1000</f>
        <v>1.8077450025908555</v>
      </c>
      <c r="AB110">
        <v>380</v>
      </c>
    </row>
    <row r="111" spans="23:28" x14ac:dyDescent="0.3">
      <c r="W111" cm="1">
        <f t="array" ref="W111">[1]!propssi("S","Q",0,"T",Y111,$W$1)/1000</f>
        <v>1.421754079936125</v>
      </c>
      <c r="X111" cm="1">
        <f t="array" ref="X111">[1]!propssi("S","Q",1,"T",Y111,$W$1)/1000</f>
        <v>1.7768030270625292</v>
      </c>
      <c r="Y111">
        <v>381</v>
      </c>
      <c r="Z111" cm="1">
        <f t="array" ref="Z111">[1]!propssi("S","Q",0,"T",AB111,$Z$1)/1000</f>
        <v>1.4535791951950536</v>
      </c>
      <c r="AA111" cm="1">
        <f t="array" ref="AA111">[1]!propssi("S","Q",1,"T",AB111,$Z$1)/1000</f>
        <v>1.807707067100506</v>
      </c>
      <c r="AB111">
        <v>381</v>
      </c>
    </row>
    <row r="112" spans="23:28" x14ac:dyDescent="0.3">
      <c r="W112" cm="1">
        <f t="array" ref="W112">[1]!propssi("S","Q",0,"T",Y112,$W$1)/1000</f>
        <v>1.4254679892855344</v>
      </c>
      <c r="X112" cm="1">
        <f t="array" ref="X112">[1]!propssi("S","Q",1,"T",Y112,$W$1)/1000</f>
        <v>1.7771471115403554</v>
      </c>
      <c r="Y112">
        <v>382</v>
      </c>
      <c r="Z112" cm="1">
        <f t="array" ref="Z112">[1]!propssi("S","Q",0,"T",AB112,$Z$1)/1000</f>
        <v>1.4578213275349745</v>
      </c>
      <c r="AA112" cm="1">
        <f t="array" ref="AA112">[1]!propssi("S","Q",1,"T",AB112,$Z$1)/1000</f>
        <v>1.8076534543808407</v>
      </c>
      <c r="AB112">
        <v>382</v>
      </c>
    </row>
    <row r="113" spans="23:28" x14ac:dyDescent="0.3">
      <c r="W113" cm="1">
        <f t="array" ref="W113">[1]!propssi("S","Q",0,"T",Y113,$W$1)/1000</f>
        <v>1.4291837732280082</v>
      </c>
      <c r="X113" cm="1">
        <f t="array" ref="X113">[1]!propssi("S","Q",1,"T",Y113,$W$1)/1000</f>
        <v>1.7774829441251319</v>
      </c>
      <c r="Y113">
        <v>383</v>
      </c>
      <c r="Z113" cm="1">
        <f t="array" ref="Z113">[1]!propssi("S","Q",0,"T",AB113,$Z$1)/1000</f>
        <v>1.4620733890729036</v>
      </c>
      <c r="AA113" cm="1">
        <f t="array" ref="AA113">[1]!propssi("S","Q",1,"T",AB113,$Z$1)/1000</f>
        <v>1.8075833070572016</v>
      </c>
      <c r="AB113">
        <v>383</v>
      </c>
    </row>
    <row r="114" spans="23:28" x14ac:dyDescent="0.3">
      <c r="W114" cm="1">
        <f t="array" ref="W114">[1]!propssi("S","Q",0,"T",Y114,$W$1)/1000</f>
        <v>1.4329017012122216</v>
      </c>
      <c r="X114" cm="1">
        <f t="array" ref="X114">[1]!propssi("S","Q",1,"T",Y114,$W$1)/1000</f>
        <v>1.7778100929504144</v>
      </c>
      <c r="Y114">
        <v>384</v>
      </c>
      <c r="Z114" cm="1">
        <f t="array" ref="Z114">[1]!propssi("S","Q",0,"T",AB114,$Z$1)/1000</f>
        <v>1.4663360036617745</v>
      </c>
      <c r="AA114" cm="1">
        <f t="array" ref="AA114">[1]!propssi("S","Q",1,"T",AB114,$Z$1)/1000</f>
        <v>1.8074957181873235</v>
      </c>
      <c r="AB114">
        <v>384</v>
      </c>
    </row>
    <row r="115" spans="23:28" x14ac:dyDescent="0.3">
      <c r="W115" cm="1">
        <f t="array" ref="W115">[1]!propssi("S","Q",0,"T",Y115,$W$1)/1000</f>
        <v>1.4366220532689484</v>
      </c>
      <c r="X115" cm="1">
        <f t="array" ref="X115">[1]!propssi("S","Q",1,"T",Y115,$W$1)/1000</f>
        <v>1.7781281089057066</v>
      </c>
      <c r="Y115">
        <v>385</v>
      </c>
      <c r="Z115" cm="1">
        <f t="array" ref="Z115">[1]!propssi("S","Q",0,"T",AB115,$Z$1)/1000</f>
        <v>1.4706098338954587</v>
      </c>
      <c r="AA115" cm="1">
        <f t="array" ref="AA115">[1]!propssi("S","Q",1,"T",AB115,$Z$1)/1000</f>
        <v>1.8073897265640086</v>
      </c>
      <c r="AB115">
        <v>385</v>
      </c>
    </row>
    <row r="116" spans="23:28" x14ac:dyDescent="0.3">
      <c r="W116" cm="1">
        <f t="array" ref="W116">[1]!propssi("S","Q",0,"T",Y116,$W$1)/1000</f>
        <v>1.4403451207193387</v>
      </c>
      <c r="X116" cm="1">
        <f t="array" ref="X116">[1]!propssi("S","Q",1,"T",Y116,$W$1)/1000</f>
        <v>1.7784365244760545</v>
      </c>
      <c r="Y116">
        <v>386</v>
      </c>
      <c r="Z116" cm="1">
        <f t="array" ref="Z116">[1]!propssi("S","Q",0,"T",AB116,$Z$1)/1000</f>
        <v>1.474895584637653</v>
      </c>
      <c r="AA116" cm="1">
        <f t="array" ref="AA116">[1]!propssi("S","Q",1,"T",AB116,$Z$1)/1000</f>
        <v>1.8072643114400389</v>
      </c>
      <c r="AB116">
        <v>386</v>
      </c>
    </row>
    <row r="117" spans="23:28" x14ac:dyDescent="0.3">
      <c r="W117" cm="1">
        <f t="array" ref="W117">[1]!propssi("S","Q",0,"T",Y117,$W$1)/1000</f>
        <v>1.4440712069448318</v>
      </c>
      <c r="X117" cm="1">
        <f t="array" ref="X117">[1]!propssi("S","Q",1,"T",Y117,$W$1)/1000</f>
        <v>1.7787348524858244</v>
      </c>
      <c r="Y117">
        <v>387</v>
      </c>
      <c r="Z117" cm="1">
        <f t="array" ref="Z117">[1]!propssi("S","Q",0,"T",AB117,$Z$1)/1000</f>
        <v>1.479194006984214</v>
      </c>
      <c r="AA117" cm="1">
        <f t="array" ref="AA117">[1]!propssi("S","Q",1,"T",AB117,$Z$1)/1000</f>
        <v>1.8071183865863116</v>
      </c>
      <c r="AB117">
        <v>387</v>
      </c>
    </row>
    <row r="118" spans="23:28" x14ac:dyDescent="0.3">
      <c r="W118" cm="1">
        <f t="array" ref="W118">[1]!propssi("S","Q",0,"T",Y118,$W$1)/1000</f>
        <v>1.4478006282254461</v>
      </c>
      <c r="X118" cm="1">
        <f t="array" ref="X118">[1]!propssi("S","Q",1,"T",Y118,$W$1)/1000</f>
        <v>1.7790225847366297</v>
      </c>
      <c r="Y118">
        <v>388</v>
      </c>
      <c r="Z118" cm="1">
        <f t="array" ref="Z118">[1]!propssi("S","Q",0,"T",AB118,$Z$1)/1000</f>
        <v>1.483505902727154</v>
      </c>
      <c r="AA118" cm="1">
        <f t="array" ref="AA118">[1]!propssi("S","Q",1,"T",AB118,$Z$1)/1000</f>
        <v>1.806950793577665</v>
      </c>
      <c r="AB118">
        <v>388</v>
      </c>
    </row>
    <row r="119" spans="23:28" x14ac:dyDescent="0.3">
      <c r="W119" cm="1">
        <f t="array" ref="W119">[1]!propssi("S","Q",0,"T",Y119,$W$1)/1000</f>
        <v>1.4515337146541378</v>
      </c>
      <c r="X119" cm="1">
        <f t="array" ref="X119">[1]!propssi("S","Q",1,"T",Y119,$W$1)/1000</f>
        <v>1.7792991905281048</v>
      </c>
      <c r="Y119">
        <v>389</v>
      </c>
      <c r="Z119" cm="1">
        <f t="array" ref="Z119">[1]!propssi("S","Q",0,"T",AB119,$Z$1)/1000</f>
        <v>1.4878321294016441</v>
      </c>
      <c r="AA119" cm="1">
        <f t="array" ref="AA119">[1]!propssi("S","Q",1,"T",AB119,$Z$1)/1000</f>
        <v>1.8067602941806444</v>
      </c>
      <c r="AB119">
        <v>389</v>
      </c>
    </row>
    <row r="120" spans="23:28" x14ac:dyDescent="0.3">
      <c r="W120" cm="1">
        <f t="array" ref="W120">[1]!propssi("S","Q",0,"T",Y120,$W$1)/1000</f>
        <v>1.4552708111358765</v>
      </c>
      <c r="X120" cm="1">
        <f t="array" ref="X120">[1]!propssi("S","Q",1,"T",Y120,$W$1)/1000</f>
        <v>1.779564115048728</v>
      </c>
      <c r="Y120">
        <v>390</v>
      </c>
      <c r="Z120" cm="1">
        <f t="array" ref="Z120">[1]!propssi("S","Q",0,"T",AB120,$Z$1)/1000</f>
        <v>1.4921736060134758</v>
      </c>
      <c r="AA120" cm="1">
        <f t="array" ref="AA120">[1]!propssi("S","Q",1,"T",AB120,$Z$1)/1000</f>
        <v>1.8065455616927717</v>
      </c>
      <c r="AB120">
        <v>390</v>
      </c>
    </row>
    <row r="121" spans="23:28" x14ac:dyDescent="0.3">
      <c r="W121" cm="1">
        <f t="array" ref="W121">[1]!propssi("S","Q",0,"T",Y121,$W$1)/1000</f>
        <v>1.4590122784813726</v>
      </c>
      <c r="X121" cm="1">
        <f t="array" ref="X121">[1]!propssi("S","Q",1,"T",Y121,$W$1)/1000</f>
        <v>1.779816777622315</v>
      </c>
      <c r="Y121">
        <v>391</v>
      </c>
      <c r="Z121" cm="1">
        <f t="array" ref="Z121">[1]!propssi("S","Q",0,"T",AB121,$Z$1)/1000</f>
        <v>1.4965313195643735</v>
      </c>
      <c r="AA121" cm="1">
        <f t="array" ref="AA121">[1]!propssi("S","Q",1,"T",AB121,$Z$1)/1000</f>
        <v>1.8063051710523863</v>
      </c>
      <c r="AB121">
        <v>391</v>
      </c>
    </row>
    <row r="122" spans="23:28" x14ac:dyDescent="0.3">
      <c r="W122" cm="1">
        <f t="array" ref="W122">[1]!propssi("S","Q",0,"T",Y122,$W$1)/1000</f>
        <v>1.4627584946067025</v>
      </c>
      <c r="X122" cm="1">
        <f t="array" ref="X122">[1]!propssi("S","Q",1,"T",Y122,$W$1)/1000</f>
        <v>1.7800565697937323</v>
      </c>
      <c r="Y122">
        <v>392</v>
      </c>
      <c r="Z122" cm="1">
        <f t="array" ref="Z122">[1]!propssi("S","Q",0,"T",AB122,$Z$1)/1000</f>
        <v>1.5009063325172616</v>
      </c>
      <c r="AA122" cm="1">
        <f t="array" ref="AA122">[1]!propssi("S","Q",1,"T",AB122,$Z$1)/1000</f>
        <v>1.8060375875003323</v>
      </c>
      <c r="AB122">
        <v>392</v>
      </c>
    </row>
    <row r="123" spans="23:28" x14ac:dyDescent="0.3">
      <c r="W123" cm="1">
        <f t="array" ref="W123">[1]!propssi("S","Q",0,"T",Y123,$W$1)/1000</f>
        <v>1.4665098558517549</v>
      </c>
      <c r="X123" cm="1">
        <f t="array" ref="X123">[1]!propssi("S","Q",1,"T",Y123,$W$1)/1000</f>
        <v>1.7802828532352128</v>
      </c>
      <c r="Y123">
        <v>393</v>
      </c>
      <c r="Z123" cm="1">
        <f t="array" ref="Z123">[1]!propssi("S","Q",0,"T",AB123,$Z$1)/1000</f>
        <v>1.5052997913744903</v>
      </c>
      <c r="AA123" cm="1">
        <f t="array" ref="AA123">[1]!propssi("S","Q",1,"T",AB123,$Z$1)/1000</f>
        <v>1.8057411535275938</v>
      </c>
      <c r="AB123">
        <v>393</v>
      </c>
    </row>
    <row r="124" spans="23:28" x14ac:dyDescent="0.3">
      <c r="W124" cm="1">
        <f t="array" ref="W124">[1]!propssi("S","Q",0,"T",Y124,$W$1)/1000</f>
        <v>1.4702667784322663</v>
      </c>
      <c r="X124" cm="1">
        <f t="array" ref="X124">[1]!propssi("S","Q",1,"T",Y124,$W$1)/1000</f>
        <v>1.7804949574520157</v>
      </c>
      <c r="Y124">
        <v>394</v>
      </c>
      <c r="Z124" cm="1">
        <f t="array" ref="Z124">[1]!propssi("S","Q",0,"T",AB124,$Z$1)/1000</f>
        <v>1.5097129365810258</v>
      </c>
      <c r="AA124" cm="1">
        <f t="array" ref="AA124">[1]!propssi("S","Q",1,"T",AB124,$Z$1)/1000</f>
        <v>1.8054140737838131</v>
      </c>
      <c r="AB124">
        <v>394</v>
      </c>
    </row>
    <row r="125" spans="23:28" x14ac:dyDescent="0.3">
      <c r="W125" cm="1">
        <f t="array" ref="W125">[1]!propssi("S","Q",0,"T",Y125,$W$1)/1000</f>
        <v>1.4740297000424785</v>
      </c>
      <c r="X125" cm="1">
        <f t="array" ref="X125">[1]!propssi("S","Q",1,"T",Y125,$W$1)/1000</f>
        <v>1.7806921772630595</v>
      </c>
      <c r="Y125">
        <v>395</v>
      </c>
      <c r="Z125" cm="1">
        <f t="array" ref="Z125">[1]!propssi("S","Q",0,"T",AB125,$Z$1)/1000</f>
        <v>1.5141471140138481</v>
      </c>
      <c r="AA125" cm="1">
        <f t="array" ref="AA125">[1]!propssi("S","Q",1,"T",AB125,$Z$1)/1000</f>
        <v>1.8050543975466666</v>
      </c>
      <c r="AB125">
        <v>395</v>
      </c>
    </row>
    <row r="126" spans="23:28" x14ac:dyDescent="0.3">
      <c r="W126" cm="1">
        <f t="array" ref="W126">[1]!propssi("S","Q",0,"T",Y126,$W$1)/1000</f>
        <v>1.4777990816280131</v>
      </c>
      <c r="X126" cm="1">
        <f t="array" ref="X126">[1]!propssi("S","Q",1,"T",Y126,$W$1)/1000</f>
        <v>1.7808737700286199</v>
      </c>
      <c r="Y126">
        <v>396</v>
      </c>
      <c r="Z126" cm="1">
        <f t="array" ref="Z126">[1]!propssi("S","Q",0,"T",AB126,$Z$1)/1000</f>
        <v>1.5186037883818886</v>
      </c>
      <c r="AA126" cm="1">
        <f t="array" ref="AA126">[1]!propssi("S","Q",1,"T",AB126,$Z$1)/1000</f>
        <v>1.8046599982567038</v>
      </c>
      <c r="AB126">
        <v>396</v>
      </c>
    </row>
    <row r="127" spans="23:28" x14ac:dyDescent="0.3">
      <c r="W127" cm="1">
        <f t="array" ref="W127">[1]!propssi("S","Q",0,"T",Y127,$W$1)/1000</f>
        <v>1.4815754093516875</v>
      </c>
      <c r="X127" cm="1">
        <f t="array" ref="X127">[1]!propssi("S","Q",1,"T",Y127,$W$1)/1000</f>
        <v>1.7810389525929595</v>
      </c>
      <c r="Y127">
        <v>397</v>
      </c>
      <c r="Z127" cm="1">
        <f t="array" ref="Z127">[1]!propssi("S","Q",0,"T",AB127,$Z$1)/1000</f>
        <v>1.5230845589418947</v>
      </c>
      <c r="AA127" cm="1">
        <f t="array" ref="AA127">[1]!propssi("S","Q",1,"T",AB127,$Z$1)/1000</f>
        <v>1.8042285494996533</v>
      </c>
      <c r="AB127">
        <v>397</v>
      </c>
    </row>
    <row r="128" spans="23:28" x14ac:dyDescent="0.3">
      <c r="W128" cm="1">
        <f t="array" ref="W128">[1]!propssi("S","Q",0,"T",Y128,$W$1)/1000</f>
        <v>1.4853591967785957</v>
      </c>
      <c r="X128" cm="1">
        <f t="array" ref="X128">[1]!propssi("S","Q",1,"T",Y128,$W$1)/1000</f>
        <v>1.7811868979047438</v>
      </c>
      <c r="Y128">
        <v>398</v>
      </c>
      <c r="Z128" cm="1">
        <f t="array" ref="Z128">[1]!propssi("S","Q",0,"T",AB128,$Z$1)/1000</f>
        <v>1.5275911780409277</v>
      </c>
      <c r="AA128" cm="1">
        <f t="array" ref="AA128">[1]!propssi("S","Q",1,"T",AB128,$Z$1)/1000</f>
        <v>1.8037574966594518</v>
      </c>
      <c r="AB128">
        <v>398</v>
      </c>
    </row>
    <row r="129" spans="23:28" x14ac:dyDescent="0.3">
      <c r="W129" cm="1">
        <f t="array" ref="W129">[1]!propssi("S","Q",0,"T",Y129,$W$1)/1000</f>
        <v>1.4891509873111239</v>
      </c>
      <c r="X129" cm="1">
        <f t="array" ref="X129">[1]!propssi("S","Q",1,"T",Y129,$W$1)/1000</f>
        <v>1.7813167312721887</v>
      </c>
      <c r="Y129">
        <v>399</v>
      </c>
      <c r="Z129" cm="1">
        <f t="array" ref="Z129">[1]!propssi("S","Q",0,"T",AB129,$Z$1)/1000</f>
        <v>1.5321255731341883</v>
      </c>
      <c r="AA129" cm="1">
        <f t="array" ref="AA129">[1]!propssi("S","Q",1,"T",AB129,$Z$1)/1000</f>
        <v>1.8032440232577074</v>
      </c>
      <c r="AB129">
        <v>399</v>
      </c>
    </row>
    <row r="130" spans="23:28" x14ac:dyDescent="0.3">
      <c r="W130" cm="1">
        <f t="array" ref="W130">[1]!propssi("S","Q",0,"T",Y130,$W$1)/1000</f>
        <v>1.4929513569097939</v>
      </c>
      <c r="X130" cm="1">
        <f t="array" ref="X130">[1]!propssi("S","Q",1,"T",Y130,$W$1)/1000</f>
        <v>1.7814275262029899</v>
      </c>
      <c r="Y130">
        <v>400</v>
      </c>
      <c r="Z130" cm="1">
        <f t="array" ref="Z130">[1]!propssi("S","Q",0,"T",AB130,$Z$1)/1000</f>
        <v>1.5366898731094545</v>
      </c>
      <c r="AA130" cm="1">
        <f t="array" ref="AA130">[1]!propssi("S","Q",1,"T",AB130,$Z$1)/1000</f>
        <v>1.8026850107213783</v>
      </c>
      <c r="AB130">
        <v>400</v>
      </c>
    </row>
    <row r="131" spans="23:28" x14ac:dyDescent="0.3">
      <c r="W131" cm="1">
        <f t="array" ref="W131">[1]!propssi("S","Q",0,"T",Y131,$W$1)/1000</f>
        <v>1.4967609171419463</v>
      </c>
      <c r="X131" cm="1">
        <f t="array" ref="X131">[1]!propssi("S","Q",1,"T",Y131,$W$1)/1000</f>
        <v>1.7815182997705039</v>
      </c>
      <c r="Y131">
        <v>401</v>
      </c>
      <c r="Z131" cm="1">
        <f t="array" ref="Z131">[1]!propssi("S","Q",0,"T",AB131,$Z$1)/1000</f>
        <v>1.5412864399935966</v>
      </c>
      <c r="AA131" cm="1">
        <f t="array" ref="AA131">[1]!propssi("S","Q",1,"T",AB131,$Z$1)/1000</f>
        <v>1.8020769899549185</v>
      </c>
      <c r="AB131">
        <v>401</v>
      </c>
    </row>
    <row r="132" spans="23:28" x14ac:dyDescent="0.3">
      <c r="W132" cm="1">
        <f t="array" ref="W132">[1]!propssi("S","Q",0,"T",Y132,$W$1)/1000</f>
        <v>1.5005803186077911</v>
      </c>
      <c r="X132" cm="1">
        <f t="array" ref="X132">[1]!propssi("S","Q",1,"T",Y132,$W$1)/1000</f>
        <v>1.7815880074377937</v>
      </c>
      <c r="Y132">
        <v>402</v>
      </c>
      <c r="Z132" cm="1">
        <f t="array" ref="Z132">[1]!propssi("S","Q",0,"T",AB132,$Z$1)/1000</f>
        <v>1.5459179074469842</v>
      </c>
      <c r="AA132" cm="1">
        <f t="array" ref="AA132">[1]!propssi("S","Q",1,"T",AB132,$Z$1)/1000</f>
        <v>1.801416082600003</v>
      </c>
      <c r="AB132">
        <v>402</v>
      </c>
    </row>
    <row r="133" spans="23:28" x14ac:dyDescent="0.3">
      <c r="W133" cm="1">
        <f t="array" ref="W133">[1]!propssi("S","Q",0,"T",Y133,$W$1)/1000</f>
        <v>1.5044102548023932</v>
      </c>
      <c r="X133" cm="1">
        <f t="array" ref="X133">[1]!propssi("S","Q",1,"T",Y133,$W$1)/1000</f>
        <v>1.7816355372589621</v>
      </c>
      <c r="Y133">
        <v>403</v>
      </c>
      <c r="Z133" cm="1">
        <f t="array" ref="Z133">[1]!propssi("S","Q",0,"T",AB133,$Z$1)/1000</f>
        <v>1.5505872279040966</v>
      </c>
      <c r="AA133" cm="1">
        <f t="array" ref="AA133">[1]!propssi("S","Q",1,"T",AB133,$Z$1)/1000</f>
        <v>1.8006979291922005</v>
      </c>
      <c r="AB133">
        <v>403</v>
      </c>
    </row>
    <row r="134" spans="23:28" x14ac:dyDescent="0.3">
      <c r="W134" cm="1">
        <f t="array" ref="W134">[1]!propssi("S","Q",0,"T",Y134,$W$1)/1000</f>
        <v>1.5082514664830589</v>
      </c>
      <c r="X134" cm="1">
        <f t="array" ref="X134">[1]!propssi("S","Q",1,"T",Y134,$W$1)/1000</f>
        <v>1.781659703362541</v>
      </c>
      <c r="Y134">
        <v>404</v>
      </c>
      <c r="Z134" cm="1">
        <f t="array" ref="Z134">[1]!propssi("S","Q",0,"T",AB134,$Z$1)/1000</f>
        <v>1.5552977308468523</v>
      </c>
      <c r="AA134" cm="1">
        <f t="array" ref="AA134">[1]!propssi("S","Q",1,"T",AB134,$Z$1)/1000</f>
        <v>1.7999176004910979</v>
      </c>
      <c r="AB134">
        <v>404</v>
      </c>
    </row>
    <row r="135" spans="23:28" x14ac:dyDescent="0.3">
      <c r="W135" cm="1">
        <f t="array" ref="W135">[1]!propssi("S","Q",0,"T",Y135,$W$1)/1000</f>
        <v>1.5121047466250273</v>
      </c>
      <c r="X135" cm="1">
        <f t="array" ref="X135">[1]!propssi("S","Q",1,"T",Y135,$W$1)/1000</f>
        <v>1.7816592386038583</v>
      </c>
      <c r="Y135">
        <v>405</v>
      </c>
      <c r="Z135" cm="1">
        <f t="array" ref="Z135">[1]!propssi("S","Q",0,"T",AB135,$Z$1)/1000</f>
        <v>1.5600531955822867</v>
      </c>
      <c r="AA135" cm="1">
        <f t="array" ref="AA135">[1]!propssi("S","Q",1,"T",AB135,$Z$1)/1000</f>
        <v>1.7990694869496529</v>
      </c>
      <c r="AB135">
        <v>405</v>
      </c>
    </row>
    <row r="136" spans="23:28" x14ac:dyDescent="0.3">
      <c r="W136" cm="1">
        <f t="array" ref="W136">[1]!propssi("S","Q",0,"T",Y136,$W$1)/1000</f>
        <v>1.5159709460647892</v>
      </c>
      <c r="X136" cm="1">
        <f t="array" ref="X136">[1]!propssi("S","Q",1,"T",Y136,$W$1)/1000</f>
        <v>1.7816327862515684</v>
      </c>
      <c r="Y136">
        <v>406</v>
      </c>
      <c r="Z136" cm="1">
        <f t="array" ref="Z136">[1]!propssi("S","Q",0,"T",AB136,$Z$1)/1000</f>
        <v>1.5648579431638252</v>
      </c>
      <c r="AA136" cm="1">
        <f t="array" ref="AA136">[1]!propssi("S","Q",1,"T",AB136,$Z$1)/1000</f>
        <v>1.7981471594171983</v>
      </c>
      <c r="AB136">
        <v>406</v>
      </c>
    </row>
    <row r="137" spans="23:28" x14ac:dyDescent="0.3">
      <c r="W137" cm="1">
        <f t="array" ref="W137">[1]!propssi("S","Q",0,"T",Y137,$W$1)/1000</f>
        <v>1.5198509799506008</v>
      </c>
      <c r="X137" cm="1">
        <f t="array" ref="X137">[1]!propssi("S","Q",1,"T",Y137,$W$1)/1000</f>
        <v>1.7815788905465797</v>
      </c>
      <c r="Y137">
        <v>407</v>
      </c>
      <c r="Z137" cm="1">
        <f t="array" ref="Z137">[1]!propssi("S","Q",0,"T",AB137,$Z$1)/1000</f>
        <v>1.5697169539429978</v>
      </c>
      <c r="AA137" cm="1">
        <f t="array" ref="AA137">[1]!propssi("S","Q",1,"T",AB137,$Z$1)/1000</f>
        <v>1.797143191450878</v>
      </c>
      <c r="AB137">
        <v>407</v>
      </c>
    </row>
    <row r="138" spans="23:28" x14ac:dyDescent="0.3">
      <c r="W138" cm="1">
        <f t="array" ref="W138">[1]!propssi("S","Q",0,"T",Y138,$W$1)/1000</f>
        <v>1.5237458351449489</v>
      </c>
      <c r="X138" cm="1">
        <f t="array" ref="X138">[1]!propssi("S","Q",1,"T",Y138,$W$1)/1000</f>
        <v>1.781495985938494</v>
      </c>
      <c r="Y138">
        <v>408</v>
      </c>
      <c r="Z138" cm="1">
        <f t="array" ref="Z138">[1]!propssi("S","Q",0,"T",AB138,$Z$1)/1000</f>
        <v>1.5746360199856262</v>
      </c>
      <c r="AA138" cm="1">
        <f t="array" ref="AA138">[1]!propssi("S","Q",1,"T",AB138,$Z$1)/1000</f>
        <v>1.7960489295802033</v>
      </c>
      <c r="AB138">
        <v>408</v>
      </c>
    </row>
    <row r="139" spans="23:28" x14ac:dyDescent="0.3">
      <c r="W139" cm="1">
        <f t="array" ref="W139">[1]!propssi("S","Q",0,"T",Y139,$W$1)/1000</f>
        <v>1.5276565787551482</v>
      </c>
      <c r="X139" cm="1">
        <f t="array" ref="X139">[1]!propssi("S","Q",1,"T",Y139,$W$1)/1000</f>
        <v>1.7813823847632333</v>
      </c>
      <c r="Y139">
        <v>409</v>
      </c>
      <c r="Z139" cm="1">
        <f t="array" ref="Z139">[1]!propssi("S","Q",0,"T",AB139,$Z$1)/1000</f>
        <v>1.5796219457612481</v>
      </c>
      <c r="AA139" cm="1">
        <f t="array" ref="AA139">[1]!propssi("S","Q",1,"T",AB139,$Z$1)/1000</f>
        <v>1.7948541917658298</v>
      </c>
      <c r="AB139">
        <v>409</v>
      </c>
    </row>
    <row r="140" spans="23:28" x14ac:dyDescent="0.3">
      <c r="W140" cm="1">
        <f t="array" ref="W140">[1]!propssi("S","Q",0,"T",Y140,$W$1)/1000</f>
        <v>1.5315843680077781</v>
      </c>
      <c r="X140" cm="1">
        <f t="array" ref="X140">[1]!propssi("S","Q",1,"T",Y140,$W$1)/1000</f>
        <v>1.7812362630737861</v>
      </c>
      <c r="Y140">
        <v>410</v>
      </c>
      <c r="Z140" cm="1">
        <f t="array" ref="Z140">[1]!propssi("S","Q",0,"T",AB140,$Z$1)/1000</f>
        <v>1.5846828170168168</v>
      </c>
      <c r="AA140" cm="1">
        <f t="array" ref="AA140">[1]!propssi("S","Q",1,"T",AB140,$Z$1)/1000</f>
        <v>1.7935468648224442</v>
      </c>
      <c r="AB140">
        <v>410</v>
      </c>
    </row>
    <row r="141" spans="23:28" x14ac:dyDescent="0.3">
      <c r="W141" cm="1">
        <f t="array" ref="W141">[1]!propssi("S","Q",0,"T",Y141,$W$1)/1000</f>
        <v>1.5355304617326928</v>
      </c>
      <c r="X141" cm="1">
        <f t="array" ref="X141">[1]!propssi("S","Q",1,"T",Y141,$W$1)/1000</f>
        <v>1.7810556442704455</v>
      </c>
      <c r="Y141">
        <v>411</v>
      </c>
      <c r="Z141" cm="1">
        <f t="array" ref="Z141">[1]!propssi("S","Q",0,"T",AB141,$Z$1)/1000</f>
        <v>1.5898283681572019</v>
      </c>
      <c r="AA141" cm="1">
        <f t="array" ref="AA141">[1]!propssi("S","Q",1,"T",AB141,$Z$1)/1000</f>
        <v>1.7921123564700701</v>
      </c>
      <c r="AB141">
        <v>411</v>
      </c>
    </row>
    <row r="142" spans="23:28" x14ac:dyDescent="0.3">
      <c r="W142" cm="1">
        <f t="array" ref="W142">[1]!propssi("S","Q",0,"T",Y142,$W$1)/1000</f>
        <v>1.5394962337861589</v>
      </c>
      <c r="X142" cm="1">
        <f t="array" ref="X142">[1]!propssi("S","Q",1,"T",Y142,$W$1)/1000</f>
        <v>1.7808383800938807</v>
      </c>
      <c r="Y142">
        <v>412</v>
      </c>
      <c r="Z142" cm="1">
        <f t="array" ref="Z142">[1]!propssi("S","Q",0,"T",AB142,$Z$1)/1000</f>
        <v>1.5950704956587931</v>
      </c>
      <c r="AA142" cm="1">
        <f t="array" ref="AA142">[1]!propssi("S","Q",1,"T",AB142,$Z$1)/1000</f>
        <v>1.7905328328240149</v>
      </c>
      <c r="AB142">
        <v>412</v>
      </c>
    </row>
    <row r="143" spans="23:28" x14ac:dyDescent="0.3">
      <c r="W143" cm="1">
        <f t="array" ref="W143">[1]!propssi("S","Q",0,"T",Y143,$W$1)/1000</f>
        <v>1.5434831888247296</v>
      </c>
      <c r="X143" cm="1">
        <f t="array" ref="X143">[1]!propssi("S","Q",1,"T",Y143,$W$1)/1000</f>
        <v>1.7805821284375538</v>
      </c>
      <c r="Y143">
        <v>413</v>
      </c>
      <c r="Z143" cm="1">
        <f t="array" ref="Z143">[1]!propssi("S","Q",0,"T",AB143,$Z$1)/1000</f>
        <v>1.6004239945144025</v>
      </c>
      <c r="AA143" cm="1">
        <f t="array" ref="AA143">[1]!propssi("S","Q",1,"T",AB143,$Z$1)/1000</f>
        <v>1.7887861297523662</v>
      </c>
      <c r="AB143">
        <v>413</v>
      </c>
    </row>
    <row r="144" spans="23:28" x14ac:dyDescent="0.3">
      <c r="W144" cm="1">
        <f t="array" ref="W144">[1]!propssi("S","Q",0,"T",Y144,$W$1)/1000</f>
        <v>1.5474929809478202</v>
      </c>
      <c r="X144" cm="1">
        <f t="array" ref="X144">[1]!propssi("S","Q",1,"T",Y144,$W$1)/1000</f>
        <v>1.7802843272984028</v>
      </c>
      <c r="Y144">
        <v>414</v>
      </c>
      <c r="Z144" cm="1">
        <f t="array" ref="Z144">[1]!propssi("S","Q",0,"T",AB144,$Z$1)/1000</f>
        <v>1.6059076473533009</v>
      </c>
      <c r="AA144" cm="1">
        <f t="array" ref="AA144">[1]!propssi("S","Q",1,"T",AB144,$Z$1)/1000</f>
        <v>1.7868441512044213</v>
      </c>
      <c r="AB144">
        <v>414</v>
      </c>
    </row>
    <row r="145" spans="23:28" x14ac:dyDescent="0.3">
      <c r="W145" cm="1">
        <f t="array" ref="W145">[1]!propssi("S","Q",0,"T",Y145,$W$1)/1000</f>
        <v>1.5515274358660895</v>
      </c>
      <c r="X145" cm="1">
        <f t="array" ref="X145">[1]!propssi("S","Q",1,"T",Y145,$W$1)/1000</f>
        <v>1.7799421640048965</v>
      </c>
      <c r="Y145">
        <v>415</v>
      </c>
      <c r="Z145" cm="1">
        <f t="array" ref="Z145">[1]!propssi("S","Q",0,"T",AB145,$Z$1)/1000</f>
        <v>1.6115458946591248</v>
      </c>
      <c r="AA145" cm="1">
        <f t="array" ref="AA145">[1]!propssi("S","Q",1,"T",AB145,$Z$1)/1000</f>
        <v>1.7846704270593909</v>
      </c>
      <c r="AB145">
        <v>415</v>
      </c>
    </row>
    <row r="146" spans="23:28" x14ac:dyDescent="0.3">
      <c r="W146" cm="1">
        <f t="array" ref="W146">[1]!propssi("S","Q",0,"T",Y146,$W$1)/1000</f>
        <v>1.5555885774365181</v>
      </c>
      <c r="X146" cm="1">
        <f t="array" ref="X146">[1]!propssi("S","Q",1,"T",Y146,$W$1)/1000</f>
        <v>1.7795525386250637</v>
      </c>
      <c r="Y146">
        <v>416</v>
      </c>
      <c r="Z146" cm="1">
        <f t="array" ref="Z146">[1]!propssi("S","Q",0,"T",AB146,$Z$1)/1000</f>
        <v>1.6173715110423796</v>
      </c>
      <c r="AA146" cm="1">
        <f t="array" ref="AA146">[1]!propssi("S","Q",1,"T",AB146,$Z$1)/1000</f>
        <v>1.7822162250994904</v>
      </c>
      <c r="AB146">
        <v>416</v>
      </c>
    </row>
    <row r="147" spans="23:28" x14ac:dyDescent="0.3">
      <c r="W147" cm="1">
        <f t="array" ref="W147">[1]!propssi("S","Q",0,"T",Y147,$W$1)/1000</f>
        <v>1.5596786596503731</v>
      </c>
      <c r="X147" cm="1">
        <f t="array" ref="X147">[1]!propssi("S","Q",1,"T",Y147,$W$1)/1000</f>
        <v>1.7791120201425861</v>
      </c>
      <c r="Y147">
        <v>417</v>
      </c>
      <c r="Z147" cm="1">
        <f t="array" ref="Z147">[1]!propssi("S","Q",0,"T",AB147,$Z$1)/1000</f>
        <v>1.6234301324803364</v>
      </c>
      <c r="AA147" cm="1">
        <f t="array" ref="AA147">[1]!propssi("S","Q",1,"T",AB147,$Z$1)/1000</f>
        <v>1.7794140218459682</v>
      </c>
      <c r="AB147">
        <v>417</v>
      </c>
    </row>
    <row r="148" spans="23:28" x14ac:dyDescent="0.3">
      <c r="W148" cm="1">
        <f t="array" ref="W148">[1]!propssi("S","Q",0,"T",Y148,$W$1)/1000</f>
        <v>1.5638002054912665</v>
      </c>
      <c r="X148" cm="1">
        <f t="array" ref="X148">[1]!propssi("S","Q",1,"T",Y148,$W$1)/1000</f>
        <v>1.7786167935658663</v>
      </c>
      <c r="Y148">
        <v>418</v>
      </c>
      <c r="Z148" cm="1">
        <f t="array" ref="Z148">[1]!propssi("S","Q",0,"T",AB148,$Z$1)/1000</f>
        <v>1.6297884603510737</v>
      </c>
      <c r="AA148" cm="1">
        <f t="array" ref="AA148">[1]!propssi("S","Q",1,"T",AB148,$Z$1)/1000</f>
        <v>1.7761657698681468</v>
      </c>
      <c r="AB148">
        <v>418</v>
      </c>
    </row>
    <row r="149" spans="23:28" x14ac:dyDescent="0.3">
      <c r="W149" cm="1">
        <f t="array" ref="W149">[1]!propssi("S","Q",0,"T",Y149,$W$1)/1000</f>
        <v>1.5679560545327833</v>
      </c>
      <c r="X149" cm="1">
        <f t="array" ref="X149">[1]!propssi("S","Q",1,"T",Y149,$W$1)/1000</f>
        <v>1.7780625955592357</v>
      </c>
      <c r="Y149">
        <v>419</v>
      </c>
      <c r="Z149" cm="1">
        <f t="array" ref="Z149">[1]!propssi("S","Q",0,"T",AB149,$Z$1)/1000</f>
        <v>1.6365505379899989</v>
      </c>
      <c r="AA149" cm="1">
        <f t="array" ref="AA149">[1]!propssi("S","Q",1,"T",AB149,$Z$1)/1000</f>
        <v>1.7723198494207526</v>
      </c>
      <c r="AB149">
        <v>419</v>
      </c>
    </row>
    <row r="150" spans="23:28" x14ac:dyDescent="0.3">
      <c r="W150" cm="1">
        <f t="array" ref="W150">[1]!propssi("S","Q",0,"T",Y150,$W$1)/1000</f>
        <v>1.5721494217710987</v>
      </c>
      <c r="X150" cm="1">
        <f t="array" ref="X150">[1]!propssi("S","Q",1,"T",Y150,$W$1)/1000</f>
        <v>1.7774446353918021</v>
      </c>
      <c r="Y150">
        <v>420</v>
      </c>
      <c r="Z150" cm="1">
        <f t="array" ref="Z150">[1]!propssi("S","Q",0,"T",AB150,$Z$1)/1000</f>
        <v>1.6438943588833816</v>
      </c>
      <c r="AA150" cm="1">
        <f t="array" ref="AA150">[1]!propssi("S","Q",1,"T",AB150,$Z$1)/1000</f>
        <v>1.7676198460512011</v>
      </c>
      <c r="AB150">
        <v>420</v>
      </c>
    </row>
    <row r="151" spans="23:28" x14ac:dyDescent="0.3">
      <c r="W151" cm="1">
        <f t="array" ref="W151">[1]!propssi("S","Q",0,"T",Y151,$W$1)/1000</f>
        <v>1.5763839710668965</v>
      </c>
      <c r="X151" cm="1">
        <f t="array" ref="X151">[1]!propssi("S","Q",1,"T",Y151,$W$1)/1000</f>
        <v>1.776757496889402</v>
      </c>
      <c r="Y151">
        <v>421</v>
      </c>
      <c r="Z151" cm="1">
        <f t="array" ref="Z151">[1]!propssi("S","Q",0,"T",AB151,$Z$1)/1000</f>
        <v>1.6521712238530954</v>
      </c>
      <c r="AA151" cm="1">
        <f t="array" ref="AA151">[1]!propssi("S","Q",1,"T",AB151,$Z$1)/1000</f>
        <v>1.7615676270899754</v>
      </c>
      <c r="AB151">
        <v>421</v>
      </c>
    </row>
    <row r="152" spans="23:28" x14ac:dyDescent="0.3">
      <c r="W152" cm="1">
        <f t="array" ref="W152">[1]!propssi("S","Q",0,"T",Y152,$W$1)/1000</f>
        <v>1.5806639078244011</v>
      </c>
      <c r="X152" cm="1">
        <f t="array" ref="X152">[1]!propssi("S","Q",1,"T",Y152,$W$1)/1000</f>
        <v>1.775995015499457</v>
      </c>
      <c r="Y152">
        <v>422</v>
      </c>
      <c r="Z152" cm="1">
        <f t="array" ref="Z152">[1]!propssi("S","Q",0,"T",AB152,$Z$1)/1000</f>
        <v>1.6622788866972777</v>
      </c>
      <c r="AA152" cm="1">
        <f t="array" ref="AA152">[1]!propssi("S","Q",1,"T",AB152,$Z$1)/1000</f>
        <v>1.7529199578608414</v>
      </c>
      <c r="AB152">
        <v>422</v>
      </c>
    </row>
    <row r="153" spans="23:28" x14ac:dyDescent="0.3">
      <c r="W153" cm="1">
        <f t="array" ref="W153">[1]!propssi("S","Q",0,"T",Y153,$W$1)/1000</f>
        <v>1.5849940973538441</v>
      </c>
      <c r="X153" cm="1">
        <f t="array" ref="X153">[1]!propssi("S","Q",1,"T",Y153,$W$1)/1000</f>
        <v>1.7751501223031105</v>
      </c>
      <c r="Y153">
        <v>423</v>
      </c>
      <c r="Z153" cm="1">
        <f t="array" ref="Z153">[1]!propssi("S","Q",0,"T",AB153,$Z$1)/1000</f>
        <v>1.6789542324502407</v>
      </c>
      <c r="AA153" cm="1">
        <f t="array" ref="AA153">[1]!propssi("S","Q",1,"T",AB153,$Z$1)/1000</f>
        <v>1.7354342175219235</v>
      </c>
      <c r="AB153">
        <v>423</v>
      </c>
    </row>
    <row r="154" spans="23:28" x14ac:dyDescent="0.3">
      <c r="W154" cm="1">
        <f t="array" ref="W154">[1]!propssi("S","Q",0,"T",Y154,$W$1)/1000</f>
        <v>1.5893802180526375</v>
      </c>
      <c r="X154" cm="1">
        <f t="array" ref="X154">[1]!propssi("S","Q",1,"T",Y154,$W$1)/1000</f>
        <v>1.7742146434618915</v>
      </c>
      <c r="Y154">
        <v>424</v>
      </c>
      <c r="Z154" t="e" cm="1">
        <f t="array" ref="Z154">[1]!propssi("S","Q",0,"T",AB154,$Z$1)/1000</f>
        <v>#VALUE!</v>
      </c>
      <c r="AA154" t="e" cm="1">
        <f t="array" ref="AA154">[1]!propssi("S","Q",1,"T",AB154,$Z$1)/1000</f>
        <v>#VALUE!</v>
      </c>
      <c r="AB154">
        <v>424</v>
      </c>
    </row>
    <row r="155" spans="23:28" x14ac:dyDescent="0.3">
      <c r="W155" cm="1">
        <f t="array" ref="W155">[1]!propssi("S","Q",0,"T",Y155,$W$1)/1000</f>
        <v>1.5938289626003692</v>
      </c>
      <c r="X155" cm="1">
        <f t="array" ref="X155">[1]!propssi("S","Q",1,"T",Y155,$W$1)/1000</f>
        <v>1.773179038559739</v>
      </c>
      <c r="Y155">
        <v>425</v>
      </c>
      <c r="Z155" t="e" cm="1">
        <f t="array" ref="Z155">[1]!propssi("S","Q",0,"T",AB155,$Z$1)/1000</f>
        <v>#VALUE!</v>
      </c>
      <c r="AA155" t="e" cm="1">
        <f t="array" ref="AA155">[1]!propssi("S","Q",1,"T",AB155,$Z$1)/1000</f>
        <v>#VALUE!</v>
      </c>
      <c r="AB155">
        <v>425</v>
      </c>
    </row>
    <row r="156" spans="23:28" x14ac:dyDescent="0.3">
      <c r="W156" cm="1">
        <f t="array" ref="W156">[1]!propssi("S","Q",0,"T",Y156,$W$1)/1000</f>
        <v>1.5983483066377104</v>
      </c>
      <c r="X156" cm="1">
        <f t="array" ref="X156">[1]!propssi("S","Q",1,"T",Y156,$W$1)/1000</f>
        <v>1.7720320535783629</v>
      </c>
      <c r="Y156">
        <v>426</v>
      </c>
      <c r="Z156" t="e" cm="1">
        <f t="array" ref="Z156">[1]!propssi("S","Q",0,"T",AB156,$Z$1)/1000</f>
        <v>#VALUE!</v>
      </c>
      <c r="AA156" t="e" cm="1">
        <f t="array" ref="AA156">[1]!propssi("S","Q",1,"T",AB156,$Z$1)/1000</f>
        <v>#VALUE!</v>
      </c>
      <c r="AB156">
        <v>426</v>
      </c>
    </row>
    <row r="157" spans="23:28" x14ac:dyDescent="0.3">
      <c r="W157" cm="1">
        <f t="array" ref="W157">[1]!propssi("S","Q",0,"T",Y157,$W$1)/1000</f>
        <v>1.6029478743559193</v>
      </c>
      <c r="X157" cm="1">
        <f t="array" ref="X157">[1]!propssi("S","Q",1,"T",Y157,$W$1)/1000</f>
        <v>1.7707602520665813</v>
      </c>
      <c r="Y157">
        <v>427</v>
      </c>
      <c r="Z157" t="e" cm="1">
        <f t="array" ref="Z157">[1]!propssi("S","Q",0,"T",AB157,$Z$1)/1000</f>
        <v>#VALUE!</v>
      </c>
      <c r="AA157" t="e" cm="1">
        <f t="array" ref="AA157">[1]!propssi("S","Q",1,"T",AB157,$Z$1)/1000</f>
        <v>#VALUE!</v>
      </c>
      <c r="AB157">
        <v>427</v>
      </c>
    </row>
    <row r="158" spans="23:28" x14ac:dyDescent="0.3">
      <c r="W158" cm="1">
        <f t="array" ref="W158">[1]!propssi("S","Q",0,"T",Y158,$W$1)/1000</f>
        <v>1.6076394466979418</v>
      </c>
      <c r="X158" cm="1">
        <f t="array" ref="X158">[1]!propssi("S","Q",1,"T",Y158,$W$1)/1000</f>
        <v>1.7693473682966543</v>
      </c>
      <c r="Y158">
        <v>428</v>
      </c>
      <c r="Z158" t="e" cm="1">
        <f t="array" ref="Z158">[1]!propssi("S","Q",0,"T",AB158,$Z$1)/1000</f>
        <v>#VALUE!</v>
      </c>
      <c r="AA158" t="e" cm="1">
        <f t="array" ref="AA158">[1]!propssi("S","Q",1,"T",AB158,$Z$1)/1000</f>
        <v>#VALUE!</v>
      </c>
      <c r="AB158">
        <v>428</v>
      </c>
    </row>
    <row r="159" spans="23:28" x14ac:dyDescent="0.3">
      <c r="W159" cm="1">
        <f t="array" ref="W159">[1]!propssi("S","Q",0,"T",Y159,$W$1)/1000</f>
        <v>1.612437685389551</v>
      </c>
      <c r="X159" cm="1">
        <f t="array" ref="X159">[1]!propssi("S","Q",1,"T",Y159,$W$1)/1000</f>
        <v>1.7677733930231911</v>
      </c>
      <c r="Y159">
        <v>429</v>
      </c>
      <c r="Z159" t="e" cm="1">
        <f t="array" ref="Z159">[1]!propssi("S","Q",0,"T",AB159,$Z$1)/1000</f>
        <v>#VALUE!</v>
      </c>
      <c r="AA159" t="e" cm="1">
        <f t="array" ref="AA159">[1]!propssi("S","Q",1,"T",AB159,$Z$1)/1000</f>
        <v>#VALUE!</v>
      </c>
      <c r="AB159">
        <v>429</v>
      </c>
    </row>
    <row r="160" spans="23:28" x14ac:dyDescent="0.3">
      <c r="W160" cm="1">
        <f t="array" ref="W160">[1]!propssi("S","Q",0,"T",Y160,$W$1)/1000</f>
        <v>1.6173611943994382</v>
      </c>
      <c r="X160" cm="1">
        <f t="array" ref="X160">[1]!propssi("S","Q",1,"T",Y160,$W$1)/1000</f>
        <v>1.7660132445969654</v>
      </c>
      <c r="Y160">
        <v>430</v>
      </c>
      <c r="Z160" t="e" cm="1">
        <f t="array" ref="Z160">[1]!propssi("S","Q",0,"T",AB160,$Z$1)/1000</f>
        <v>#VALUE!</v>
      </c>
      <c r="AA160" t="e" cm="1">
        <f t="array" ref="AA160">[1]!propssi("S","Q",1,"T",AB160,$Z$1)/1000</f>
        <v>#VALUE!</v>
      </c>
      <c r="AB160">
        <v>430</v>
      </c>
    </row>
    <row r="161" spans="23:28" x14ac:dyDescent="0.3">
      <c r="W161" cm="1">
        <f t="array" ref="W161">[1]!propssi("S","Q",0,"T",Y161,$W$1)/1000</f>
        <v>1.6224341294517362</v>
      </c>
      <c r="X161" cm="1">
        <f t="array" ref="X161">[1]!propssi("S","Q",1,"T",Y161,$W$1)/1000</f>
        <v>1.7640347726465597</v>
      </c>
      <c r="Y161">
        <v>431</v>
      </c>
      <c r="Z161" t="e" cm="1">
        <f t="array" ref="Z161">[1]!propssi("S","Q",0,"T",AB161,$Z$1)/1000</f>
        <v>#VALUE!</v>
      </c>
      <c r="AA161" t="e" cm="1">
        <f t="array" ref="AA161">[1]!propssi("S","Q",1,"T",AB161,$Z$1)/1000</f>
        <v>#VALUE!</v>
      </c>
      <c r="AB161">
        <v>431</v>
      </c>
    </row>
    <row r="162" spans="23:28" x14ac:dyDescent="0.3">
      <c r="W162" cm="1">
        <f t="array" ref="W162">[1]!propssi("S","Q",0,"T",Y162,$W$1)/1000</f>
        <v>1.6276887390978472</v>
      </c>
      <c r="X162" cm="1">
        <f t="array" ref="X162">[1]!propssi("S","Q",1,"T",Y162,$W$1)/1000</f>
        <v>1.7617956385578011</v>
      </c>
      <c r="Y162">
        <v>432</v>
      </c>
      <c r="Z162" t="e" cm="1">
        <f t="array" ref="Z162">[1]!propssi("S","Q",0,"T",AB162,$Z$1)/1000</f>
        <v>#VALUE!</v>
      </c>
      <c r="AA162" t="e" cm="1">
        <f t="array" ref="AA162">[1]!propssi("S","Q",1,"T",AB162,$Z$1)/1000</f>
        <v>#VALUE!</v>
      </c>
      <c r="AB162">
        <v>432</v>
      </c>
    </row>
    <row r="163" spans="23:28" x14ac:dyDescent="0.3">
      <c r="W163" cm="1">
        <f t="array" ref="W163">[1]!propssi("S","Q",0,"T",Y163,$W$1)/1000</f>
        <v>1.6331695790984819</v>
      </c>
      <c r="X163" cm="1">
        <f t="array" ref="X163">[1]!propssi("S","Q",1,"T",Y163,$W$1)/1000</f>
        <v>1.7592382008346104</v>
      </c>
      <c r="Y163">
        <v>433</v>
      </c>
      <c r="Z163" t="e" cm="1">
        <f t="array" ref="Z163">[1]!propssi("S","Q",0,"T",AB163,$Z$1)/1000</f>
        <v>#VALUE!</v>
      </c>
      <c r="AA163" t="e" cm="1">
        <f t="array" ref="AA163">[1]!propssi("S","Q",1,"T",AB163,$Z$1)/1000</f>
        <v>#VALUE!</v>
      </c>
      <c r="AB163">
        <v>433</v>
      </c>
    </row>
    <row r="164" spans="23:28" x14ac:dyDescent="0.3">
      <c r="W164" cm="1">
        <f t="array" ref="W164">[1]!propssi("S","Q",0,"T",Y164,$W$1)/1000</f>
        <v>1.6389409459654878</v>
      </c>
      <c r="X164" cm="1">
        <f t="array" ref="X164">[1]!propssi("S","Q",1,"T",Y164,$W$1)/1000</f>
        <v>1.7562806104196662</v>
      </c>
      <c r="Y164">
        <v>434</v>
      </c>
      <c r="Z164" t="e" cm="1">
        <f t="array" ref="Z164">[1]!propssi("S","Q",0,"T",AB164,$Z$1)/1000</f>
        <v>#VALUE!</v>
      </c>
      <c r="AA164" t="e" cm="1">
        <f t="array" ref="AA164">[1]!propssi("S","Q",1,"T",AB164,$Z$1)/1000</f>
        <v>#VALUE!</v>
      </c>
      <c r="AB164">
        <v>434</v>
      </c>
    </row>
    <row r="165" spans="23:28" x14ac:dyDescent="0.3">
      <c r="W165" cm="1">
        <f t="array" ref="W165">[1]!propssi("S","Q",0,"T",Y165,$W$1)/1000</f>
        <v>1.6451010727956192</v>
      </c>
      <c r="X165" cm="1">
        <f t="array" ref="X165">[1]!propssi("S","Q",1,"T",Y165,$W$1)/1000</f>
        <v>1.7528000589997077</v>
      </c>
      <c r="Y165">
        <v>435</v>
      </c>
      <c r="Z165" t="e" cm="1">
        <f t="array" ref="Z165">[1]!propssi("S","Q",0,"T",AB165,$Z$1)/1000</f>
        <v>#VALUE!</v>
      </c>
      <c r="AA165" t="e" cm="1">
        <f t="array" ref="AA165">[1]!propssi("S","Q",1,"T",AB165,$Z$1)/1000</f>
        <v>#VALUE!</v>
      </c>
      <c r="AB165">
        <v>435</v>
      </c>
    </row>
    <row r="166" spans="23:28" x14ac:dyDescent="0.3">
      <c r="W166" cm="1">
        <f t="array" ref="W166">[1]!propssi("S","Q",0,"T",Y166,$W$1)/1000</f>
        <v>1.6518123014955362</v>
      </c>
      <c r="X166" cm="1">
        <f t="array" ref="X166">[1]!propssi("S","Q",1,"T",Y166,$W$1)/1000</f>
        <v>1.7485977986326353</v>
      </c>
      <c r="Y166">
        <v>436</v>
      </c>
      <c r="Z166" t="e" cm="1">
        <f t="array" ref="Z166">[1]!propssi("S","Q",0,"T",AB166,$Z$1)/1000</f>
        <v>#VALUE!</v>
      </c>
      <c r="AA166" t="e" cm="1">
        <f t="array" ref="AA166">[1]!propssi("S","Q",1,"T",AB166,$Z$1)/1000</f>
        <v>#VALUE!</v>
      </c>
      <c r="AB166">
        <v>436</v>
      </c>
    </row>
    <row r="167" spans="23:28" x14ac:dyDescent="0.3">
      <c r="W167" cm="1">
        <f t="array" ref="W167">[1]!propssi("S","Q",0,"T",Y167,$W$1)/1000</f>
        <v>1.6593758699874803</v>
      </c>
      <c r="X167" cm="1">
        <f t="array" ref="X167">[1]!propssi("S","Q",1,"T",Y167,$W$1)/1000</f>
        <v>1.7433142745833841</v>
      </c>
      <c r="Y167">
        <v>437</v>
      </c>
      <c r="Z167" t="e" cm="1">
        <f t="array" ref="Z167">[1]!propssi("S","Q",0,"T",AB167,$Z$1)/1000</f>
        <v>#VALUE!</v>
      </c>
      <c r="AA167" t="e" cm="1">
        <f t="array" ref="AA167">[1]!propssi("S","Q",1,"T",AB167,$Z$1)/1000</f>
        <v>#VALUE!</v>
      </c>
      <c r="AB167">
        <v>437</v>
      </c>
    </row>
    <row r="168" spans="23:28" x14ac:dyDescent="0.3">
      <c r="W168" cm="1">
        <f t="array" ref="W168">[1]!propssi("S","Q",0,"T",Y168,$W$1)/1000</f>
        <v>1.6684690487033711</v>
      </c>
      <c r="X168" cm="1">
        <f t="array" ref="X168">[1]!propssi("S","Q",1,"T",Y168,$W$1)/1000</f>
        <v>1.7361672413554856</v>
      </c>
      <c r="Y168">
        <v>438</v>
      </c>
      <c r="Z168" t="e" cm="1">
        <f t="array" ref="Z168">[1]!propssi("S","Q",0,"T",AB168,$Z$1)/1000</f>
        <v>#VALUE!</v>
      </c>
      <c r="AA168" t="e" cm="1">
        <f t="array" ref="AA168">[1]!propssi("S","Q",1,"T",AB168,$Z$1)/1000</f>
        <v>#VALUE!</v>
      </c>
      <c r="AB168">
        <v>438</v>
      </c>
    </row>
    <row r="169" spans="23:28" x14ac:dyDescent="0.3">
      <c r="W169" cm="1">
        <f t="array" ref="W169">[1]!propssi("S","Q",0,"T",Y169,$W$1)/1000</f>
        <v>1.6813913222963466</v>
      </c>
      <c r="X169" cm="1">
        <f t="array" ref="X169">[1]!propssi("S","Q",1,"T",Y169,$W$1)/1000</f>
        <v>1.7246268756233929</v>
      </c>
      <c r="Y169">
        <v>439</v>
      </c>
      <c r="Z169" t="e" cm="1">
        <f t="array" ref="Z169">[1]!propssi("S","Q",0,"T",AB169,$Z$1)/1000</f>
        <v>#VALUE!</v>
      </c>
      <c r="AA169" t="e" cm="1">
        <f t="array" ref="AA169">[1]!propssi("S","Q",1,"T",AB169,$Z$1)/1000</f>
        <v>#VALUE!</v>
      </c>
      <c r="AB169">
        <v>439</v>
      </c>
    </row>
    <row r="170" spans="23:28" x14ac:dyDescent="0.3">
      <c r="Y170">
        <v>440</v>
      </c>
      <c r="Z170" t="e" cm="1">
        <f t="array" ref="Z170">[1]!propssi("S","Q",0,"T",AB170,$Z$1)/1000</f>
        <v>#VALUE!</v>
      </c>
      <c r="AA170" t="e" cm="1">
        <f t="array" ref="AA170">[1]!propssi("S","Q",1,"T",AB170,$Z$1)/1000</f>
        <v>#VALUE!</v>
      </c>
      <c r="AB170">
        <v>440</v>
      </c>
    </row>
    <row r="171" spans="23:28" x14ac:dyDescent="0.3">
      <c r="Y171">
        <v>441</v>
      </c>
      <c r="Z171" t="e" cm="1">
        <f t="array" ref="Z171">[1]!propssi("S","Q",0,"T",AB171,$Z$1)/1000</f>
        <v>#VALUE!</v>
      </c>
      <c r="AA171" t="e" cm="1">
        <f t="array" ref="AA171">[1]!propssi("S","Q",1,"T",AB171,$Z$1)/1000</f>
        <v>#VALUE!</v>
      </c>
      <c r="AB171">
        <v>441</v>
      </c>
    </row>
    <row r="172" spans="23:28" x14ac:dyDescent="0.3">
      <c r="Y172">
        <v>442</v>
      </c>
      <c r="Z172" t="e" cm="1">
        <f t="array" ref="Z172">[1]!propssi("S","Q",0,"T",AB172,$Z$1)/1000</f>
        <v>#VALUE!</v>
      </c>
      <c r="AA172" t="e" cm="1">
        <f t="array" ref="AA172">[1]!propssi("S","Q",1,"T",AB172,$Z$1)/1000</f>
        <v>#VALUE!</v>
      </c>
      <c r="AB172">
        <v>442</v>
      </c>
    </row>
    <row r="173" spans="23:28" x14ac:dyDescent="0.3">
      <c r="Y173">
        <v>443</v>
      </c>
      <c r="Z173" t="e" cm="1">
        <f t="array" ref="Z173">[1]!propssi("S","Q",0,"T",AB173,$Z$1)/1000</f>
        <v>#VALUE!</v>
      </c>
      <c r="AA173" t="e" cm="1">
        <f t="array" ref="AA173">[1]!propssi("S","Q",1,"T",AB173,$Z$1)/1000</f>
        <v>#VALUE!</v>
      </c>
      <c r="AB173">
        <v>443</v>
      </c>
    </row>
    <row r="174" spans="23:28" x14ac:dyDescent="0.3">
      <c r="Y174">
        <v>444</v>
      </c>
      <c r="Z174" t="e" cm="1">
        <f t="array" ref="Z174">[1]!propssi("S","Q",0,"T",AB174,$Z$1)/1000</f>
        <v>#VALUE!</v>
      </c>
      <c r="AA174" t="e" cm="1">
        <f t="array" ref="AA174">[1]!propssi("S","Q",1,"T",AB174,$Z$1)/1000</f>
        <v>#VALUE!</v>
      </c>
      <c r="AB174">
        <v>444</v>
      </c>
    </row>
    <row r="175" spans="23:28" x14ac:dyDescent="0.3">
      <c r="Y175">
        <v>445</v>
      </c>
      <c r="Z175" t="e" cm="1">
        <f t="array" ref="Z175">[1]!propssi("S","Q",0,"T",AB175,$Z$1)/1000</f>
        <v>#VALUE!</v>
      </c>
      <c r="AA175" t="e" cm="1">
        <f t="array" ref="AA175">[1]!propssi("S","Q",1,"T",AB175,$Z$1)/1000</f>
        <v>#VALUE!</v>
      </c>
      <c r="AB175">
        <v>445</v>
      </c>
    </row>
    <row r="176" spans="23:28" x14ac:dyDescent="0.3">
      <c r="Y176">
        <v>446</v>
      </c>
      <c r="Z176" t="e" cm="1">
        <f t="array" ref="Z176">[1]!propssi("S","Q",0,"T",AB176,$Z$1)/1000</f>
        <v>#VALUE!</v>
      </c>
      <c r="AA176" t="e" cm="1">
        <f t="array" ref="AA176">[1]!propssi("S","Q",1,"T",AB176,$Z$1)/1000</f>
        <v>#VALUE!</v>
      </c>
      <c r="AB176">
        <v>446</v>
      </c>
    </row>
    <row r="177" spans="25:28" x14ac:dyDescent="0.3">
      <c r="Y177">
        <v>447</v>
      </c>
      <c r="Z177" t="e" cm="1">
        <f t="array" ref="Z177">[1]!propssi("S","Q",0,"T",AB177,$Z$1)/1000</f>
        <v>#VALUE!</v>
      </c>
      <c r="AA177" t="e" cm="1">
        <f t="array" ref="AA177">[1]!propssi("S","Q",1,"T",AB177,$Z$1)/1000</f>
        <v>#VALUE!</v>
      </c>
      <c r="AB177">
        <v>447</v>
      </c>
    </row>
    <row r="178" spans="25:28" x14ac:dyDescent="0.3">
      <c r="Y178">
        <v>448</v>
      </c>
      <c r="Z178" t="e" cm="1">
        <f t="array" ref="Z178">[1]!propssi("S","Q",0,"T",AB178,$Z$1)/1000</f>
        <v>#VALUE!</v>
      </c>
      <c r="AA178" t="e" cm="1">
        <f t="array" ref="AA178">[1]!propssi("S","Q",1,"T",AB178,$Z$1)/1000</f>
        <v>#VALUE!</v>
      </c>
      <c r="AB178">
        <v>448</v>
      </c>
    </row>
    <row r="179" spans="25:28" x14ac:dyDescent="0.3">
      <c r="Y179">
        <v>449</v>
      </c>
      <c r="Z179" t="e" cm="1">
        <f t="array" ref="Z179">[1]!propssi("S","Q",0,"T",AB179,$Z$1)/1000</f>
        <v>#VALUE!</v>
      </c>
      <c r="AA179" t="e" cm="1">
        <f t="array" ref="AA179">[1]!propssi("S","Q",1,"T",AB179,$Z$1)/1000</f>
        <v>#VALUE!</v>
      </c>
      <c r="AB179">
        <v>449</v>
      </c>
    </row>
    <row r="180" spans="25:28" x14ac:dyDescent="0.3">
      <c r="Y180">
        <v>450</v>
      </c>
      <c r="Z180" t="e" cm="1">
        <f t="array" ref="Z180">[1]!propssi("S","Q",0,"T",AB180,$Z$1)/1000</f>
        <v>#VALUE!</v>
      </c>
      <c r="AA180" t="e" cm="1">
        <f t="array" ref="AA180">[1]!propssi("S","Q",1,"T",AB180,$Z$1)/1000</f>
        <v>#VALUE!</v>
      </c>
      <c r="AB180">
        <v>450</v>
      </c>
    </row>
    <row r="181" spans="25:28" x14ac:dyDescent="0.3">
      <c r="Y181">
        <v>451</v>
      </c>
      <c r="Z181" t="e" cm="1">
        <f t="array" ref="Z181">[1]!propssi("S","Q",0,"T",AB181,$Z$1)/1000</f>
        <v>#VALUE!</v>
      </c>
      <c r="AA181" t="e" cm="1">
        <f t="array" ref="AA181">[1]!propssi("S","Q",1,"T",AB181,$Z$1)/1000</f>
        <v>#VALUE!</v>
      </c>
      <c r="AB181">
        <v>451</v>
      </c>
    </row>
    <row r="182" spans="25:28" x14ac:dyDescent="0.3">
      <c r="Y182">
        <v>452</v>
      </c>
      <c r="Z182" t="e" cm="1">
        <f t="array" ref="Z182">[1]!propssi("S","Q",0,"T",AB182,$Z$1)/1000</f>
        <v>#VALUE!</v>
      </c>
      <c r="AA182" t="e" cm="1">
        <f t="array" ref="AA182">[1]!propssi("S","Q",1,"T",AB182,$Z$1)/1000</f>
        <v>#VALUE!</v>
      </c>
      <c r="AB182">
        <v>452</v>
      </c>
    </row>
    <row r="183" spans="25:28" x14ac:dyDescent="0.3">
      <c r="Y183">
        <v>453</v>
      </c>
      <c r="Z183" t="e" cm="1">
        <f t="array" ref="Z183">[1]!propssi("S","Q",0,"T",AB183,$Z$1)/1000</f>
        <v>#VALUE!</v>
      </c>
      <c r="AA183" t="e" cm="1">
        <f t="array" ref="AA183">[1]!propssi("S","Q",1,"T",AB183,$Z$1)/1000</f>
        <v>#VALUE!</v>
      </c>
      <c r="AB183">
        <v>453</v>
      </c>
    </row>
    <row r="184" spans="25:28" x14ac:dyDescent="0.3">
      <c r="Y184">
        <v>454</v>
      </c>
      <c r="Z184" t="e" cm="1">
        <f t="array" ref="Z184">[1]!propssi("S","Q",0,"T",AB184,$Z$1)/1000</f>
        <v>#VALUE!</v>
      </c>
      <c r="AA184" t="e" cm="1">
        <f t="array" ref="AA184">[1]!propssi("S","Q",1,"T",AB184,$Z$1)/1000</f>
        <v>#VALUE!</v>
      </c>
      <c r="AB184">
        <v>454</v>
      </c>
    </row>
    <row r="185" spans="25:28" x14ac:dyDescent="0.3">
      <c r="Y185">
        <v>455</v>
      </c>
      <c r="Z185" t="e" cm="1">
        <f t="array" ref="Z185">[1]!propssi("S","Q",0,"T",AB185,$Z$1)/1000</f>
        <v>#VALUE!</v>
      </c>
      <c r="AA185" t="e" cm="1">
        <f t="array" ref="AA185">[1]!propssi("S","Q",1,"T",AB185,$Z$1)/1000</f>
        <v>#VALUE!</v>
      </c>
      <c r="AB185">
        <v>455</v>
      </c>
    </row>
    <row r="186" spans="25:28" x14ac:dyDescent="0.3">
      <c r="Y186">
        <v>456</v>
      </c>
      <c r="Z186" t="e" cm="1">
        <f t="array" ref="Z186">[1]!propssi("S","Q",0,"T",AB186,$Z$1)/1000</f>
        <v>#VALUE!</v>
      </c>
      <c r="AA186" t="e" cm="1">
        <f t="array" ref="AA186">[1]!propssi("S","Q",1,"T",AB186,$Z$1)/1000</f>
        <v>#VALUE!</v>
      </c>
      <c r="AB186">
        <v>456</v>
      </c>
    </row>
    <row r="187" spans="25:28" x14ac:dyDescent="0.3">
      <c r="Y187">
        <v>457</v>
      </c>
      <c r="Z187" t="e" cm="1">
        <f t="array" ref="Z187">[1]!propssi("S","Q",0,"T",AB187,$Z$1)/1000</f>
        <v>#VALUE!</v>
      </c>
      <c r="AA187" t="e" cm="1">
        <f t="array" ref="AA187">[1]!propssi("S","Q",1,"T",AB187,$Z$1)/1000</f>
        <v>#VALUE!</v>
      </c>
      <c r="AB187">
        <v>457</v>
      </c>
    </row>
    <row r="188" spans="25:28" x14ac:dyDescent="0.3">
      <c r="Y188">
        <v>458</v>
      </c>
      <c r="Z188" t="e" cm="1">
        <f t="array" ref="Z188">[1]!propssi("S","Q",0,"T",AB188,$Z$1)/1000</f>
        <v>#VALUE!</v>
      </c>
      <c r="AA188" t="e" cm="1">
        <f t="array" ref="AA188">[1]!propssi("S","Q",1,"T",AB188,$Z$1)/1000</f>
        <v>#VALUE!</v>
      </c>
      <c r="AB188">
        <v>458</v>
      </c>
    </row>
    <row r="189" spans="25:28" x14ac:dyDescent="0.3">
      <c r="Y189">
        <v>459</v>
      </c>
      <c r="Z189" t="e" cm="1">
        <f t="array" ref="Z189">[1]!propssi("S","Q",0,"T",AB189,$Z$1)/1000</f>
        <v>#VALUE!</v>
      </c>
      <c r="AA189" t="e" cm="1">
        <f t="array" ref="AA189">[1]!propssi("S","Q",1,"T",AB189,$Z$1)/1000</f>
        <v>#VALUE!</v>
      </c>
      <c r="AB189">
        <v>459</v>
      </c>
    </row>
    <row r="190" spans="25:28" x14ac:dyDescent="0.3">
      <c r="Y190">
        <v>460</v>
      </c>
      <c r="Z190" t="e" cm="1">
        <f t="array" ref="Z190">[1]!propssi("S","Q",0,"T",AB190,$Z$1)/1000</f>
        <v>#VALUE!</v>
      </c>
      <c r="AA190" t="e" cm="1">
        <f t="array" ref="AA190">[1]!propssi("S","Q",1,"T",AB190,$Z$1)/1000</f>
        <v>#VALUE!</v>
      </c>
      <c r="AB190">
        <v>460</v>
      </c>
    </row>
    <row r="191" spans="25:28" x14ac:dyDescent="0.3">
      <c r="Y191">
        <v>461</v>
      </c>
      <c r="Z191" t="e" cm="1">
        <f t="array" ref="Z191">[1]!propssi("S","Q",0,"T",AB191,$Z$1)/1000</f>
        <v>#VALUE!</v>
      </c>
      <c r="AA191" t="e" cm="1">
        <f t="array" ref="AA191">[1]!propssi("S","Q",1,"T",AB191,$Z$1)/1000</f>
        <v>#VALUE!</v>
      </c>
      <c r="AB191">
        <v>461</v>
      </c>
    </row>
    <row r="192" spans="25:28" x14ac:dyDescent="0.3">
      <c r="Y192">
        <v>462</v>
      </c>
      <c r="Z192" t="e" cm="1">
        <f t="array" ref="Z192">[1]!propssi("S","Q",0,"T",AB192,$Z$1)/1000</f>
        <v>#VALUE!</v>
      </c>
      <c r="AA192" t="e" cm="1">
        <f t="array" ref="AA192">[1]!propssi("S","Q",1,"T",AB192,$Z$1)/1000</f>
        <v>#VALUE!</v>
      </c>
      <c r="AB192">
        <v>462</v>
      </c>
    </row>
    <row r="193" spans="25:28" x14ac:dyDescent="0.3">
      <c r="Y193">
        <v>463</v>
      </c>
      <c r="Z193" t="e" cm="1">
        <f t="array" ref="Z193">[1]!propssi("S","Q",0,"T",AB193,$Z$1)/1000</f>
        <v>#VALUE!</v>
      </c>
      <c r="AA193" t="e" cm="1">
        <f t="array" ref="AA193">[1]!propssi("S","Q",1,"T",AB193,$Z$1)/1000</f>
        <v>#VALUE!</v>
      </c>
      <c r="AB193">
        <v>463</v>
      </c>
    </row>
    <row r="194" spans="25:28" x14ac:dyDescent="0.3">
      <c r="Y194">
        <v>464</v>
      </c>
      <c r="Z194" t="e" cm="1">
        <f t="array" ref="Z194">[1]!propssi("S","Q",0,"T",AB194,$Z$1)/1000</f>
        <v>#VALUE!</v>
      </c>
      <c r="AA194" t="e" cm="1">
        <f t="array" ref="AA194">[1]!propssi("S","Q",1,"T",AB194,$Z$1)/1000</f>
        <v>#VALUE!</v>
      </c>
      <c r="AB194">
        <v>464</v>
      </c>
    </row>
    <row r="195" spans="25:28" x14ac:dyDescent="0.3">
      <c r="Y195">
        <v>465</v>
      </c>
      <c r="Z195" t="e" cm="1">
        <f t="array" ref="Z195">[1]!propssi("S","Q",0,"T",AB195,$Z$1)/1000</f>
        <v>#VALUE!</v>
      </c>
      <c r="AA195" t="e" cm="1">
        <f t="array" ref="AA195">[1]!propssi("S","Q",1,"T",AB195,$Z$1)/1000</f>
        <v>#VALUE!</v>
      </c>
      <c r="AB195">
        <v>465</v>
      </c>
    </row>
    <row r="196" spans="25:28" x14ac:dyDescent="0.3">
      <c r="Y196">
        <v>466</v>
      </c>
      <c r="Z196" t="e" cm="1">
        <f t="array" ref="Z196">[1]!propssi("S","Q",0,"T",AB196,$Z$1)/1000</f>
        <v>#VALUE!</v>
      </c>
      <c r="AA196" t="e" cm="1">
        <f t="array" ref="AA196">[1]!propssi("S","Q",1,"T",AB196,$Z$1)/1000</f>
        <v>#VALUE!</v>
      </c>
      <c r="AB196">
        <v>466</v>
      </c>
    </row>
    <row r="197" spans="25:28" x14ac:dyDescent="0.3">
      <c r="Y197">
        <v>467</v>
      </c>
      <c r="Z197" t="e" cm="1">
        <f t="array" ref="Z197">[1]!propssi("S","Q",0,"T",AB197,$Z$1)/1000</f>
        <v>#VALUE!</v>
      </c>
      <c r="AA197" t="e" cm="1">
        <f t="array" ref="AA197">[1]!propssi("S","Q",1,"T",AB197,$Z$1)/1000</f>
        <v>#VALUE!</v>
      </c>
      <c r="AB197">
        <v>467</v>
      </c>
    </row>
    <row r="198" spans="25:28" x14ac:dyDescent="0.3">
      <c r="Y198">
        <v>468</v>
      </c>
      <c r="Z198" t="e" cm="1">
        <f t="array" ref="Z198">[1]!propssi("S","Q",0,"T",AB198,$Z$1)/1000</f>
        <v>#VALUE!</v>
      </c>
      <c r="AA198" t="e" cm="1">
        <f t="array" ref="AA198">[1]!propssi("S","Q",1,"T",AB198,$Z$1)/1000</f>
        <v>#VALUE!</v>
      </c>
      <c r="AB198">
        <v>468</v>
      </c>
    </row>
    <row r="199" spans="25:28" x14ac:dyDescent="0.3">
      <c r="Y199">
        <v>469</v>
      </c>
      <c r="Z199" t="e" cm="1">
        <f t="array" ref="Z199">[1]!propssi("S","Q",0,"T",AB199,$Z$1)/1000</f>
        <v>#VALUE!</v>
      </c>
      <c r="AA199" t="e" cm="1">
        <f t="array" ref="AA199">[1]!propssi("S","Q",1,"T",AB199,$Z$1)/1000</f>
        <v>#VALUE!</v>
      </c>
      <c r="AB199">
        <v>469</v>
      </c>
    </row>
    <row r="200" spans="25:28" x14ac:dyDescent="0.3">
      <c r="Y200">
        <v>470</v>
      </c>
      <c r="Z200" t="e" cm="1">
        <f t="array" ref="Z200">[1]!propssi("S","Q",0,"T",AB200,$Z$1)/1000</f>
        <v>#VALUE!</v>
      </c>
      <c r="AA200" t="e" cm="1">
        <f t="array" ref="AA200">[1]!propssi("S","Q",1,"T",AB200,$Z$1)/1000</f>
        <v>#VALUE!</v>
      </c>
      <c r="AB200">
        <v>470</v>
      </c>
    </row>
    <row r="201" spans="25:28" x14ac:dyDescent="0.3">
      <c r="Y201">
        <v>471</v>
      </c>
      <c r="Z201" t="e" cm="1">
        <f t="array" ref="Z201">[1]!propssi("S","Q",0,"T",AB201,$Z$1)/1000</f>
        <v>#VALUE!</v>
      </c>
      <c r="AA201" t="e" cm="1">
        <f t="array" ref="AA201">[1]!propssi("S","Q",1,"T",AB201,$Z$1)/1000</f>
        <v>#VALUE!</v>
      </c>
      <c r="AB201">
        <v>471</v>
      </c>
    </row>
    <row r="202" spans="25:28" x14ac:dyDescent="0.3">
      <c r="Y202">
        <v>472</v>
      </c>
      <c r="Z202" t="e" cm="1">
        <f t="array" ref="Z202">[1]!propssi("S","Q",0,"T",AB202,$Z$1)/1000</f>
        <v>#VALUE!</v>
      </c>
      <c r="AA202" t="e" cm="1">
        <f t="array" ref="AA202">[1]!propssi("S","Q",1,"T",AB202,$Z$1)/1000</f>
        <v>#VALUE!</v>
      </c>
      <c r="AB202">
        <v>472</v>
      </c>
    </row>
    <row r="203" spans="25:28" x14ac:dyDescent="0.3">
      <c r="Y203">
        <v>473</v>
      </c>
      <c r="Z203" t="e" cm="1">
        <f t="array" ref="Z203">[1]!propssi("S","Q",0,"T",AB203,$Z$1)/1000</f>
        <v>#VALUE!</v>
      </c>
      <c r="AA203" t="e" cm="1">
        <f t="array" ref="AA203">[1]!propssi("S","Q",1,"T",AB203,$Z$1)/1000</f>
        <v>#VALUE!</v>
      </c>
      <c r="AB203">
        <v>473</v>
      </c>
    </row>
    <row r="204" spans="25:28" x14ac:dyDescent="0.3">
      <c r="Y204">
        <v>474</v>
      </c>
      <c r="Z204" t="e" cm="1">
        <f t="array" ref="Z204">[1]!propssi("S","Q",0,"T",AB204,$Z$1)/1000</f>
        <v>#VALUE!</v>
      </c>
      <c r="AA204" t="e" cm="1">
        <f t="array" ref="AA204">[1]!propssi("S","Q",1,"T",AB204,$Z$1)/1000</f>
        <v>#VALUE!</v>
      </c>
      <c r="AB204">
        <v>474</v>
      </c>
    </row>
    <row r="205" spans="25:28" x14ac:dyDescent="0.3">
      <c r="Y205">
        <v>475</v>
      </c>
      <c r="Z205" t="e" cm="1">
        <f t="array" ref="Z205">[1]!propssi("S","Q",0,"T",AB205,$Z$1)/1000</f>
        <v>#VALUE!</v>
      </c>
      <c r="AA205" t="e" cm="1">
        <f t="array" ref="AA205">[1]!propssi("S","Q",1,"T",AB205,$Z$1)/1000</f>
        <v>#VALUE!</v>
      </c>
      <c r="AB205">
        <v>475</v>
      </c>
    </row>
    <row r="206" spans="25:28" x14ac:dyDescent="0.3">
      <c r="Y206">
        <v>476</v>
      </c>
      <c r="Z206" t="e" cm="1">
        <f t="array" ref="Z206">[1]!propssi("S","Q",0,"T",AB206,$Z$1)/1000</f>
        <v>#VALUE!</v>
      </c>
      <c r="AA206" t="e" cm="1">
        <f t="array" ref="AA206">[1]!propssi("S","Q",1,"T",AB206,$Z$1)/1000</f>
        <v>#VALUE!</v>
      </c>
      <c r="AB206">
        <v>476</v>
      </c>
    </row>
    <row r="207" spans="25:28" x14ac:dyDescent="0.3">
      <c r="Y207">
        <v>477</v>
      </c>
      <c r="Z207" t="e" cm="1">
        <f t="array" ref="Z207">[1]!propssi("S","Q",0,"T",AB207,$Z$1)/1000</f>
        <v>#VALUE!</v>
      </c>
      <c r="AA207" t="e" cm="1">
        <f t="array" ref="AA207">[1]!propssi("S","Q",1,"T",AB207,$Z$1)/1000</f>
        <v>#VALUE!</v>
      </c>
      <c r="AB207">
        <v>477</v>
      </c>
    </row>
    <row r="208" spans="25:28" x14ac:dyDescent="0.3">
      <c r="Y208">
        <v>478</v>
      </c>
      <c r="Z208" t="e" cm="1">
        <f t="array" ref="Z208">[1]!propssi("S","Q",0,"T",AB208,$Z$1)/1000</f>
        <v>#VALUE!</v>
      </c>
      <c r="AA208" t="e" cm="1">
        <f t="array" ref="AA208">[1]!propssi("S","Q",1,"T",AB208,$Z$1)/1000</f>
        <v>#VALUE!</v>
      </c>
      <c r="AB208">
        <v>478</v>
      </c>
    </row>
    <row r="209" spans="25:28" x14ac:dyDescent="0.3">
      <c r="Y209">
        <v>479</v>
      </c>
      <c r="Z209" t="e" cm="1">
        <f t="array" ref="Z209">[1]!propssi("S","Q",0,"T",AB209,$Z$1)/1000</f>
        <v>#VALUE!</v>
      </c>
      <c r="AA209" t="e" cm="1">
        <f t="array" ref="AA209">[1]!propssi("S","Q",1,"T",AB209,$Z$1)/1000</f>
        <v>#VALUE!</v>
      </c>
      <c r="AB209">
        <v>479</v>
      </c>
    </row>
    <row r="210" spans="25:28" x14ac:dyDescent="0.3">
      <c r="Y210">
        <v>480</v>
      </c>
      <c r="Z210" t="e" cm="1">
        <f t="array" ref="Z210">[1]!propssi("S","Q",0,"T",AB210,$Z$1)/1000</f>
        <v>#VALUE!</v>
      </c>
      <c r="AA210" t="e" cm="1">
        <f t="array" ref="AA210">[1]!propssi("S","Q",1,"T",AB210,$Z$1)/1000</f>
        <v>#VALUE!</v>
      </c>
      <c r="AB210">
        <v>480</v>
      </c>
    </row>
    <row r="211" spans="25:28" x14ac:dyDescent="0.3">
      <c r="Y211">
        <v>481</v>
      </c>
      <c r="Z211" t="e" cm="1">
        <f t="array" ref="Z211">[1]!propssi("S","Q",0,"T",AB211,$Z$1)/1000</f>
        <v>#VALUE!</v>
      </c>
      <c r="AA211" t="e" cm="1">
        <f t="array" ref="AA211">[1]!propssi("S","Q",1,"T",AB211,$Z$1)/1000</f>
        <v>#VALUE!</v>
      </c>
      <c r="AB211">
        <v>481</v>
      </c>
    </row>
    <row r="212" spans="25:28" x14ac:dyDescent="0.3">
      <c r="Y212">
        <v>482</v>
      </c>
      <c r="Z212" t="e" cm="1">
        <f t="array" ref="Z212">[1]!propssi("S","Q",0,"T",AB212,$Z$1)/1000</f>
        <v>#VALUE!</v>
      </c>
      <c r="AA212" t="e" cm="1">
        <f t="array" ref="AA212">[1]!propssi("S","Q",1,"T",AB212,$Z$1)/1000</f>
        <v>#VALUE!</v>
      </c>
      <c r="AB212">
        <v>482</v>
      </c>
    </row>
    <row r="213" spans="25:28" x14ac:dyDescent="0.3">
      <c r="Y213">
        <v>483</v>
      </c>
      <c r="Z213" t="e" cm="1">
        <f t="array" ref="Z213">[1]!propssi("S","Q",0,"T",AB213,$Z$1)/1000</f>
        <v>#VALUE!</v>
      </c>
      <c r="AA213" t="e" cm="1">
        <f t="array" ref="AA213">[1]!propssi("S","Q",1,"T",AB213,$Z$1)/1000</f>
        <v>#VALUE!</v>
      </c>
      <c r="AB213">
        <v>483</v>
      </c>
    </row>
    <row r="214" spans="25:28" x14ac:dyDescent="0.3">
      <c r="Y214">
        <v>484</v>
      </c>
      <c r="Z214" t="e" cm="1">
        <f t="array" ref="Z214">[1]!propssi("S","Q",0,"T",AB214,$Z$1)/1000</f>
        <v>#VALUE!</v>
      </c>
      <c r="AA214" t="e" cm="1">
        <f t="array" ref="AA214">[1]!propssi("S","Q",1,"T",AB214,$Z$1)/1000</f>
        <v>#VALUE!</v>
      </c>
      <c r="AB214">
        <v>484</v>
      </c>
    </row>
    <row r="215" spans="25:28" x14ac:dyDescent="0.3">
      <c r="Y215">
        <v>485</v>
      </c>
      <c r="Z215" t="e" cm="1">
        <f t="array" ref="Z215">[1]!propssi("S","Q",0,"T",AB215,$Z$1)/1000</f>
        <v>#VALUE!</v>
      </c>
      <c r="AA215" t="e" cm="1">
        <f t="array" ref="AA215">[1]!propssi("S","Q",1,"T",AB215,$Z$1)/1000</f>
        <v>#VALUE!</v>
      </c>
      <c r="AB215">
        <v>485</v>
      </c>
    </row>
    <row r="216" spans="25:28" x14ac:dyDescent="0.3">
      <c r="Y216">
        <v>486</v>
      </c>
      <c r="Z216" t="e" cm="1">
        <f t="array" ref="Z216">[1]!propssi("S","Q",0,"T",AB216,$Z$1)/1000</f>
        <v>#VALUE!</v>
      </c>
      <c r="AA216" t="e" cm="1">
        <f t="array" ref="AA216">[1]!propssi("S","Q",1,"T",AB216,$Z$1)/1000</f>
        <v>#VALUE!</v>
      </c>
      <c r="AB216">
        <v>486</v>
      </c>
    </row>
    <row r="217" spans="25:28" x14ac:dyDescent="0.3">
      <c r="Y217">
        <v>487</v>
      </c>
      <c r="Z217" t="e" cm="1">
        <f t="array" ref="Z217">[1]!propssi("S","Q",0,"T",AB217,$Z$1)/1000</f>
        <v>#VALUE!</v>
      </c>
      <c r="AA217" t="e" cm="1">
        <f t="array" ref="AA217">[1]!propssi("S","Q",1,"T",AB217,$Z$1)/1000</f>
        <v>#VALUE!</v>
      </c>
      <c r="AB217">
        <v>487</v>
      </c>
    </row>
    <row r="218" spans="25:28" x14ac:dyDescent="0.3">
      <c r="Y218">
        <v>488</v>
      </c>
      <c r="Z218" t="e" cm="1">
        <f t="array" ref="Z218">[1]!propssi("S","Q",0,"T",AB218,$Z$1)/1000</f>
        <v>#VALUE!</v>
      </c>
      <c r="AA218" t="e" cm="1">
        <f t="array" ref="AA218">[1]!propssi("S","Q",1,"T",AB218,$Z$1)/1000</f>
        <v>#VALUE!</v>
      </c>
      <c r="AB218">
        <v>488</v>
      </c>
    </row>
    <row r="219" spans="25:28" x14ac:dyDescent="0.3">
      <c r="Y219">
        <v>489</v>
      </c>
      <c r="Z219" t="e" cm="1">
        <f t="array" ref="Z219">[1]!propssi("S","Q",0,"T",AB219,$Z$1)/1000</f>
        <v>#VALUE!</v>
      </c>
      <c r="AA219" t="e" cm="1">
        <f t="array" ref="AA219">[1]!propssi("S","Q",1,"T",AB219,$Z$1)/1000</f>
        <v>#VALUE!</v>
      </c>
      <c r="AB219">
        <v>489</v>
      </c>
    </row>
    <row r="220" spans="25:28" x14ac:dyDescent="0.3">
      <c r="Y220">
        <v>490</v>
      </c>
      <c r="Z220" t="e" cm="1">
        <f t="array" ref="Z220">[1]!propssi("S","Q",0,"T",AB220,$Z$1)/1000</f>
        <v>#VALUE!</v>
      </c>
      <c r="AA220" t="e" cm="1">
        <f t="array" ref="AA220">[1]!propssi("S","Q",1,"T",AB220,$Z$1)/1000</f>
        <v>#VALUE!</v>
      </c>
      <c r="AB220">
        <v>490</v>
      </c>
    </row>
    <row r="221" spans="25:28" x14ac:dyDescent="0.3">
      <c r="Y221">
        <v>491</v>
      </c>
      <c r="Z221" t="e" cm="1">
        <f t="array" ref="Z221">[1]!propssi("S","Q",0,"T",AB221,$Z$1)/1000</f>
        <v>#VALUE!</v>
      </c>
      <c r="AA221" t="e" cm="1">
        <f t="array" ref="AA221">[1]!propssi("S","Q",1,"T",AB221,$Z$1)/1000</f>
        <v>#VALUE!</v>
      </c>
      <c r="AB221">
        <v>491</v>
      </c>
    </row>
    <row r="222" spans="25:28" x14ac:dyDescent="0.3">
      <c r="Y222">
        <v>492</v>
      </c>
      <c r="Z222" t="e" cm="1">
        <f t="array" ref="Z222">[1]!propssi("S","Q",0,"T",AB222,$Z$1)/1000</f>
        <v>#VALUE!</v>
      </c>
      <c r="AA222" t="e" cm="1">
        <f t="array" ref="AA222">[1]!propssi("S","Q",1,"T",AB222,$Z$1)/1000</f>
        <v>#VALUE!</v>
      </c>
      <c r="AB222">
        <v>492</v>
      </c>
    </row>
    <row r="223" spans="25:28" x14ac:dyDescent="0.3">
      <c r="Y223">
        <v>493</v>
      </c>
      <c r="Z223" t="e" cm="1">
        <f t="array" ref="Z223">[1]!propssi("S","Q",0,"T",AB223,$Z$1)/1000</f>
        <v>#VALUE!</v>
      </c>
      <c r="AA223" t="e" cm="1">
        <f t="array" ref="AA223">[1]!propssi("S","Q",1,"T",AB223,$Z$1)/1000</f>
        <v>#VALUE!</v>
      </c>
      <c r="AB223">
        <v>493</v>
      </c>
    </row>
    <row r="224" spans="25:28" x14ac:dyDescent="0.3">
      <c r="Y224">
        <v>494</v>
      </c>
      <c r="Z224" t="e" cm="1">
        <f t="array" ref="Z224">[1]!propssi("S","Q",0,"T",AB224,$Z$1)/1000</f>
        <v>#VALUE!</v>
      </c>
      <c r="AA224" t="e" cm="1">
        <f t="array" ref="AA224">[1]!propssi("S","Q",1,"T",AB224,$Z$1)/1000</f>
        <v>#VALUE!</v>
      </c>
      <c r="AB224">
        <v>494</v>
      </c>
    </row>
    <row r="225" spans="25:28" x14ac:dyDescent="0.3">
      <c r="Y225">
        <v>495</v>
      </c>
      <c r="Z225" t="e" cm="1">
        <f t="array" ref="Z225">[1]!propssi("S","Q",0,"T",AB225,$Z$1)/1000</f>
        <v>#VALUE!</v>
      </c>
      <c r="AA225" t="e" cm="1">
        <f t="array" ref="AA225">[1]!propssi("S","Q",1,"T",AB225,$Z$1)/1000</f>
        <v>#VALUE!</v>
      </c>
      <c r="AB225">
        <v>495</v>
      </c>
    </row>
    <row r="226" spans="25:28" x14ac:dyDescent="0.3">
      <c r="Y226">
        <v>496</v>
      </c>
      <c r="Z226" t="e" cm="1">
        <f t="array" ref="Z226">[1]!propssi("S","Q",0,"T",AB226,$Z$1)/1000</f>
        <v>#VALUE!</v>
      </c>
      <c r="AA226" t="e" cm="1">
        <f t="array" ref="AA226">[1]!propssi("S","Q",1,"T",AB226,$Z$1)/1000</f>
        <v>#VALUE!</v>
      </c>
      <c r="AB226">
        <v>496</v>
      </c>
    </row>
    <row r="227" spans="25:28" x14ac:dyDescent="0.3">
      <c r="Y227">
        <v>497</v>
      </c>
      <c r="Z227" t="e" cm="1">
        <f t="array" ref="Z227">[1]!propssi("S","Q",0,"T",AB227,$Z$1)/1000</f>
        <v>#VALUE!</v>
      </c>
      <c r="AA227" t="e" cm="1">
        <f t="array" ref="AA227">[1]!propssi("S","Q",1,"T",AB227,$Z$1)/1000</f>
        <v>#VALUE!</v>
      </c>
      <c r="AB227">
        <v>497</v>
      </c>
    </row>
    <row r="228" spans="25:28" x14ac:dyDescent="0.3">
      <c r="Y228">
        <v>498</v>
      </c>
      <c r="Z228" t="e" cm="1">
        <f t="array" ref="Z228">[1]!propssi("S","Q",0,"T",AB228,$Z$1)/1000</f>
        <v>#VALUE!</v>
      </c>
      <c r="AA228" t="e" cm="1">
        <f t="array" ref="AA228">[1]!propssi("S","Q",1,"T",AB228,$Z$1)/1000</f>
        <v>#VALUE!</v>
      </c>
      <c r="AB228">
        <v>498</v>
      </c>
    </row>
    <row r="229" spans="25:28" x14ac:dyDescent="0.3">
      <c r="Y229">
        <v>499</v>
      </c>
      <c r="Z229" t="e" cm="1">
        <f t="array" ref="Z229">[1]!propssi("S","Q",0,"T",AB229,$Z$1)/1000</f>
        <v>#VALUE!</v>
      </c>
      <c r="AA229" t="e" cm="1">
        <f t="array" ref="AA229">[1]!propssi("S","Q",1,"T",AB229,$Z$1)/1000</f>
        <v>#VALUE!</v>
      </c>
      <c r="AB229">
        <v>499</v>
      </c>
    </row>
    <row r="230" spans="25:28" x14ac:dyDescent="0.3">
      <c r="Y230">
        <v>500</v>
      </c>
      <c r="Z230" t="e" cm="1">
        <f t="array" ref="Z230">[1]!propssi("S","Q",0,"T",AB230,$Z$1)/1000</f>
        <v>#VALUE!</v>
      </c>
      <c r="AA230" t="e" cm="1">
        <f t="array" ref="AA230">[1]!propssi("S","Q",1,"T",AB230,$Z$1)/1000</f>
        <v>#VALUE!</v>
      </c>
      <c r="AB230">
        <v>500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36629-6D4D-4801-BEB6-7C8BE312943F}">
  <dimension ref="A1"/>
  <sheetViews>
    <sheetView workbookViewId="0"/>
  </sheetViews>
  <sheetFormatPr defaultRowHeight="14.4" x14ac:dyDescent="0.3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List1</vt:lpstr>
      <vt:lpstr>List2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Petr Mixa</dc:creator>
  <cp:lastModifiedBy>Mixa, Petr</cp:lastModifiedBy>
  <dcterms:created xsi:type="dcterms:W3CDTF">2015-06-05T18:19:34Z</dcterms:created>
  <dcterms:modified xsi:type="dcterms:W3CDTF">2026-03-16T10:12:47Z</dcterms:modified>
</cp:coreProperties>
</file>