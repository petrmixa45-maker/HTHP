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axin45\Documents\Škola\Vysoká\Energetika\2.semestr\PRO2\model\"/>
    </mc:Choice>
  </mc:AlternateContent>
  <xr:revisionPtr revIDLastSave="0" documentId="13_ncr:1_{8F87E29A-4A6E-4EE4-B7F6-9C6B4D8FE2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IC" sheetId="1" r:id="rId1"/>
    <sheet name="IHX" sheetId="3" r:id="rId2"/>
    <sheet name="List1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V27" i="1"/>
  <c r="V26" i="1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3" i="3"/>
  <c r="D16" i="3"/>
  <c r="D13" i="3"/>
  <c r="D12" i="3"/>
  <c r="B7" i="3"/>
  <c r="D11" i="1"/>
  <c r="AJ3" i="1" a="1"/>
  <c r="AI3" i="1" a="1"/>
  <c r="AI4" i="1" a="1"/>
  <c r="AI8" i="1" a="1"/>
  <c r="AI12" i="1" a="1"/>
  <c r="AI16" i="1" a="1"/>
  <c r="AI20" i="1" a="1"/>
  <c r="AI24" i="1" a="1"/>
  <c r="AI28" i="1" a="1"/>
  <c r="AI32" i="1" a="1"/>
  <c r="AI36" i="1" a="1"/>
  <c r="AI40" i="1" a="1"/>
  <c r="AI44" i="1" a="1"/>
  <c r="AI48" i="1" a="1"/>
  <c r="AI52" i="1" a="1"/>
  <c r="AI56" i="1" a="1"/>
  <c r="AI60" i="1" a="1"/>
  <c r="AI64" i="1" a="1"/>
  <c r="AI68" i="1" a="1"/>
  <c r="AI72" i="1" a="1"/>
  <c r="AI76" i="1" a="1"/>
  <c r="AI80" i="1" a="1"/>
  <c r="AI84" i="1" a="1"/>
  <c r="AI88" i="1" a="1"/>
  <c r="AI92" i="1" a="1"/>
  <c r="AI96" i="1" a="1"/>
  <c r="AI100" i="1" a="1"/>
  <c r="AI104" i="1" a="1"/>
  <c r="AI108" i="1" a="1"/>
  <c r="AI112" i="1" a="1"/>
  <c r="AI116" i="1" a="1"/>
  <c r="AJ116" i="1" a="1"/>
  <c r="AJ128" i="1" a="1"/>
  <c r="AJ136" i="1" a="1"/>
  <c r="AJ140" i="1" a="1"/>
  <c r="AJ148" i="1" a="1"/>
  <c r="AJ152" i="1" a="1"/>
  <c r="AJ156" i="1" a="1"/>
  <c r="AJ160" i="1" a="1"/>
  <c r="AJ164" i="1" a="1"/>
  <c r="AJ168" i="1" a="1"/>
  <c r="AJ172" i="1" a="1"/>
  <c r="AJ176" i="1" a="1"/>
  <c r="AJ180" i="1" a="1"/>
  <c r="AJ184" i="1" a="1"/>
  <c r="AJ188" i="1" a="1"/>
  <c r="AJ192" i="1" a="1"/>
  <c r="AJ196" i="1" a="1"/>
  <c r="AJ200" i="1" a="1"/>
  <c r="AJ204" i="1" a="1"/>
  <c r="AJ208" i="1" a="1"/>
  <c r="AJ212" i="1" a="1"/>
  <c r="AJ216" i="1" a="1"/>
  <c r="AJ220" i="1" a="1"/>
  <c r="AJ224" i="1" a="1"/>
  <c r="AJ228" i="1" a="1"/>
  <c r="AI123" i="1" a="1"/>
  <c r="AI183" i="1" a="1"/>
  <c r="AI219" i="1" a="1"/>
  <c r="AJ123" i="1" a="1"/>
  <c r="AJ171" i="1" a="1"/>
  <c r="AJ195" i="1" a="1"/>
  <c r="AJ219" i="1" a="1"/>
  <c r="AJ227" i="1" a="1"/>
  <c r="AI200" i="1" a="1"/>
  <c r="AJ4" i="1" a="1"/>
  <c r="AJ8" i="1" a="1"/>
  <c r="AJ12" i="1" a="1"/>
  <c r="AJ16" i="1" a="1"/>
  <c r="AJ20" i="1" a="1"/>
  <c r="AJ24" i="1" a="1"/>
  <c r="AJ28" i="1" a="1"/>
  <c r="AJ32" i="1" a="1"/>
  <c r="AJ36" i="1" a="1"/>
  <c r="AJ40" i="1" a="1"/>
  <c r="AJ44" i="1" a="1"/>
  <c r="AJ48" i="1" a="1"/>
  <c r="AJ52" i="1" a="1"/>
  <c r="AJ56" i="1" a="1"/>
  <c r="AJ60" i="1" a="1"/>
  <c r="AJ64" i="1" a="1"/>
  <c r="AJ68" i="1" a="1"/>
  <c r="AJ72" i="1" a="1"/>
  <c r="AJ76" i="1" a="1"/>
  <c r="AJ80" i="1" a="1"/>
  <c r="AJ84" i="1" a="1"/>
  <c r="AJ88" i="1" a="1"/>
  <c r="AJ92" i="1" a="1"/>
  <c r="AJ96" i="1" a="1"/>
  <c r="AJ100" i="1" a="1"/>
  <c r="AJ104" i="1" a="1"/>
  <c r="AJ108" i="1" a="1"/>
  <c r="AJ112" i="1" a="1"/>
  <c r="AJ120" i="1" a="1"/>
  <c r="AJ124" i="1" a="1"/>
  <c r="AJ132" i="1" a="1"/>
  <c r="AJ144" i="1" a="1"/>
  <c r="AI97" i="1" a="1"/>
  <c r="AI113" i="1" a="1"/>
  <c r="AI125" i="1" a="1"/>
  <c r="AI133" i="1" a="1"/>
  <c r="AI189" i="1" a="1"/>
  <c r="AI193" i="1" a="1"/>
  <c r="AI197" i="1" a="1"/>
  <c r="AI201" i="1" a="1"/>
  <c r="AI205" i="1" a="1"/>
  <c r="AI209" i="1" a="1"/>
  <c r="AI213" i="1" a="1"/>
  <c r="AI217" i="1" a="1"/>
  <c r="AI225" i="1" a="1"/>
  <c r="AJ189" i="1" a="1"/>
  <c r="AJ209" i="1" a="1"/>
  <c r="AJ229" i="1" a="1"/>
  <c r="AI143" i="1" a="1"/>
  <c r="AI167" i="1" a="1"/>
  <c r="AI191" i="1" a="1"/>
  <c r="AI203" i="1" a="1"/>
  <c r="AI223" i="1" a="1"/>
  <c r="AJ147" i="1" a="1"/>
  <c r="AI5" i="1" a="1"/>
  <c r="AI9" i="1" a="1"/>
  <c r="AI13" i="1" a="1"/>
  <c r="AI17" i="1" a="1"/>
  <c r="AI21" i="1" a="1"/>
  <c r="AI25" i="1" a="1"/>
  <c r="AI29" i="1" a="1"/>
  <c r="AI33" i="1" a="1"/>
  <c r="AI37" i="1" a="1"/>
  <c r="AI41" i="1" a="1"/>
  <c r="AI45" i="1" a="1"/>
  <c r="AI49" i="1" a="1"/>
  <c r="AI53" i="1" a="1"/>
  <c r="AI57" i="1" a="1"/>
  <c r="AI61" i="1" a="1"/>
  <c r="AI65" i="1" a="1"/>
  <c r="AI69" i="1" a="1"/>
  <c r="AI73" i="1" a="1"/>
  <c r="AI77" i="1" a="1"/>
  <c r="AI81" i="1" a="1"/>
  <c r="AI85" i="1" a="1"/>
  <c r="AI89" i="1" a="1"/>
  <c r="AI93" i="1" a="1"/>
  <c r="AI101" i="1" a="1"/>
  <c r="AI105" i="1" a="1"/>
  <c r="AI109" i="1" a="1"/>
  <c r="AI117" i="1" a="1"/>
  <c r="AI121" i="1" a="1"/>
  <c r="AI129" i="1" a="1"/>
  <c r="AI137" i="1" a="1"/>
  <c r="AI141" i="1" a="1"/>
  <c r="AI145" i="1" a="1"/>
  <c r="AI149" i="1" a="1"/>
  <c r="AI153" i="1" a="1"/>
  <c r="AI157" i="1" a="1"/>
  <c r="AI161" i="1" a="1"/>
  <c r="AI165" i="1" a="1"/>
  <c r="AI169" i="1" a="1"/>
  <c r="AI173" i="1" a="1"/>
  <c r="AI177" i="1" a="1"/>
  <c r="AI181" i="1" a="1"/>
  <c r="AI185" i="1" a="1"/>
  <c r="AI221" i="1" a="1"/>
  <c r="AI229" i="1" a="1"/>
  <c r="AJ201" i="1" a="1"/>
  <c r="AJ205" i="1" a="1"/>
  <c r="AJ217" i="1" a="1"/>
  <c r="AI115" i="1" a="1"/>
  <c r="AI175" i="1" a="1"/>
  <c r="AI211" i="1" a="1"/>
  <c r="AJ151" i="1" a="1"/>
  <c r="AJ215" i="1" a="1"/>
  <c r="AI220" i="1" a="1"/>
  <c r="AJ61" i="1" a="1"/>
  <c r="AJ77" i="1" a="1"/>
  <c r="AJ81" i="1" a="1"/>
  <c r="AJ85" i="1" a="1"/>
  <c r="AJ89" i="1" a="1"/>
  <c r="AJ93" i="1" a="1"/>
  <c r="AJ97" i="1" a="1"/>
  <c r="AJ101" i="1" a="1"/>
  <c r="AJ105" i="1" a="1"/>
  <c r="AJ109" i="1" a="1"/>
  <c r="AJ113" i="1" a="1"/>
  <c r="AJ117" i="1" a="1"/>
  <c r="AJ121" i="1" a="1"/>
  <c r="AJ125" i="1" a="1"/>
  <c r="AJ129" i="1" a="1"/>
  <c r="AJ133" i="1" a="1"/>
  <c r="AJ137" i="1" a="1"/>
  <c r="AJ141" i="1" a="1"/>
  <c r="AJ145" i="1" a="1"/>
  <c r="AJ149" i="1" a="1"/>
  <c r="AJ153" i="1" a="1"/>
  <c r="AJ157" i="1" a="1"/>
  <c r="AJ161" i="1" a="1"/>
  <c r="AJ165" i="1" a="1"/>
  <c r="AJ169" i="1" a="1"/>
  <c r="AJ173" i="1" a="1"/>
  <c r="AJ177" i="1" a="1"/>
  <c r="AJ181" i="1" a="1"/>
  <c r="AJ185" i="1" a="1"/>
  <c r="AJ197" i="1" a="1"/>
  <c r="AJ213" i="1" a="1"/>
  <c r="AJ221" i="1" a="1"/>
  <c r="AI111" i="1" a="1"/>
  <c r="AI147" i="1" a="1"/>
  <c r="AJ139" i="1" a="1"/>
  <c r="AJ175" i="1" a="1"/>
  <c r="AJ187" i="1" a="1"/>
  <c r="AI224" i="1" a="1"/>
  <c r="AJ5" i="1" a="1"/>
  <c r="AJ9" i="1" a="1"/>
  <c r="AJ13" i="1" a="1"/>
  <c r="AJ17" i="1" a="1"/>
  <c r="AJ21" i="1" a="1"/>
  <c r="AJ25" i="1" a="1"/>
  <c r="AJ29" i="1" a="1"/>
  <c r="AJ33" i="1" a="1"/>
  <c r="AJ37" i="1" a="1"/>
  <c r="AJ41" i="1" a="1"/>
  <c r="AJ45" i="1" a="1"/>
  <c r="AJ49" i="1" a="1"/>
  <c r="AJ53" i="1" a="1"/>
  <c r="AJ57" i="1" a="1"/>
  <c r="AJ65" i="1" a="1"/>
  <c r="AJ69" i="1" a="1"/>
  <c r="AJ73" i="1" a="1"/>
  <c r="AJ193" i="1" a="1"/>
  <c r="AJ225" i="1" a="1"/>
  <c r="AI58" i="1" a="1"/>
  <c r="AI70" i="1" a="1"/>
  <c r="AI78" i="1" a="1"/>
  <c r="AI90" i="1" a="1"/>
  <c r="AI94" i="1" a="1"/>
  <c r="AI146" i="1" a="1"/>
  <c r="AI154" i="1" a="1"/>
  <c r="AI170" i="1" a="1"/>
  <c r="AI178" i="1" a="1"/>
  <c r="AI182" i="1" a="1"/>
  <c r="AI186" i="1" a="1"/>
  <c r="AI190" i="1" a="1"/>
  <c r="AI194" i="1" a="1"/>
  <c r="AI210" i="1" a="1"/>
  <c r="AI218" i="1" a="1"/>
  <c r="AI222" i="1" a="1"/>
  <c r="AI230" i="1" a="1"/>
  <c r="AI107" i="1" a="1"/>
  <c r="AI171" i="1" a="1"/>
  <c r="AJ115" i="1" a="1"/>
  <c r="AJ159" i="1" a="1"/>
  <c r="AJ211" i="1" a="1"/>
  <c r="AI192" i="1" a="1"/>
  <c r="AI212" i="1" a="1"/>
  <c r="AI6" i="1" a="1"/>
  <c r="AI10" i="1" a="1"/>
  <c r="AI14" i="1" a="1"/>
  <c r="AI18" i="1" a="1"/>
  <c r="AI22" i="1" a="1"/>
  <c r="AI26" i="1" a="1"/>
  <c r="AI30" i="1" a="1"/>
  <c r="AI34" i="1" a="1"/>
  <c r="AI38" i="1" a="1"/>
  <c r="AI42" i="1" a="1"/>
  <c r="AI46" i="1" a="1"/>
  <c r="AI50" i="1" a="1"/>
  <c r="AI54" i="1" a="1"/>
  <c r="AI62" i="1" a="1"/>
  <c r="AI66" i="1" a="1"/>
  <c r="AI74" i="1" a="1"/>
  <c r="AI82" i="1" a="1"/>
  <c r="AI86" i="1" a="1"/>
  <c r="AI98" i="1" a="1"/>
  <c r="AI102" i="1" a="1"/>
  <c r="AI106" i="1" a="1"/>
  <c r="AI110" i="1" a="1"/>
  <c r="AI114" i="1" a="1"/>
  <c r="AI118" i="1" a="1"/>
  <c r="AI122" i="1" a="1"/>
  <c r="AI126" i="1" a="1"/>
  <c r="AI130" i="1" a="1"/>
  <c r="AI134" i="1" a="1"/>
  <c r="AI138" i="1" a="1"/>
  <c r="AI142" i="1" a="1"/>
  <c r="AI150" i="1" a="1"/>
  <c r="AI158" i="1" a="1"/>
  <c r="AI162" i="1" a="1"/>
  <c r="AI166" i="1" a="1"/>
  <c r="AI174" i="1" a="1"/>
  <c r="AI198" i="1" a="1"/>
  <c r="AI202" i="1" a="1"/>
  <c r="AI206" i="1" a="1"/>
  <c r="AI214" i="1" a="1"/>
  <c r="AI226" i="1" a="1"/>
  <c r="AI83" i="1" a="1"/>
  <c r="AI127" i="1" a="1"/>
  <c r="AI155" i="1" a="1"/>
  <c r="AI159" i="1" a="1"/>
  <c r="AI187" i="1" a="1"/>
  <c r="AJ119" i="1" a="1"/>
  <c r="AJ163" i="1" a="1"/>
  <c r="AJ199" i="1" a="1"/>
  <c r="AI208" i="1" a="1"/>
  <c r="AJ46" i="1" a="1"/>
  <c r="AJ54" i="1" a="1"/>
  <c r="AJ62" i="1" a="1"/>
  <c r="AJ74" i="1" a="1"/>
  <c r="AJ82" i="1" a="1"/>
  <c r="AJ86" i="1" a="1"/>
  <c r="AJ94" i="1" a="1"/>
  <c r="AJ102" i="1" a="1"/>
  <c r="AJ130" i="1" a="1"/>
  <c r="AJ138" i="1" a="1"/>
  <c r="AJ150" i="1" a="1"/>
  <c r="AJ162" i="1" a="1"/>
  <c r="AJ174" i="1" a="1"/>
  <c r="AJ182" i="1" a="1"/>
  <c r="AJ190" i="1" a="1"/>
  <c r="AJ194" i="1" a="1"/>
  <c r="AJ202" i="1" a="1"/>
  <c r="AJ210" i="1" a="1"/>
  <c r="AJ218" i="1" a="1"/>
  <c r="AJ226" i="1" a="1"/>
  <c r="AJ230" i="1" a="1"/>
  <c r="AI63" i="1" a="1"/>
  <c r="AI79" i="1" a="1"/>
  <c r="AI91" i="1" a="1"/>
  <c r="AI99" i="1" a="1"/>
  <c r="AI119" i="1" a="1"/>
  <c r="AI131" i="1" a="1"/>
  <c r="AI151" i="1" a="1"/>
  <c r="AI163" i="1" a="1"/>
  <c r="AI199" i="1" a="1"/>
  <c r="AI215" i="1" a="1"/>
  <c r="AJ127" i="1" a="1"/>
  <c r="AJ191" i="1" a="1"/>
  <c r="AI204" i="1" a="1"/>
  <c r="AJ6" i="1" a="1"/>
  <c r="AJ10" i="1" a="1"/>
  <c r="AJ14" i="1" a="1"/>
  <c r="AJ18" i="1" a="1"/>
  <c r="AJ22" i="1" a="1"/>
  <c r="AJ26" i="1" a="1"/>
  <c r="AJ30" i="1" a="1"/>
  <c r="AJ34" i="1" a="1"/>
  <c r="AJ38" i="1" a="1"/>
  <c r="AJ42" i="1" a="1"/>
  <c r="AJ50" i="1" a="1"/>
  <c r="AJ58" i="1" a="1"/>
  <c r="AJ66" i="1" a="1"/>
  <c r="AJ70" i="1" a="1"/>
  <c r="AJ78" i="1" a="1"/>
  <c r="AJ90" i="1" a="1"/>
  <c r="AJ98" i="1" a="1"/>
  <c r="AJ106" i="1" a="1"/>
  <c r="AJ110" i="1" a="1"/>
  <c r="AJ114" i="1" a="1"/>
  <c r="AJ118" i="1" a="1"/>
  <c r="AJ122" i="1" a="1"/>
  <c r="AJ126" i="1" a="1"/>
  <c r="AJ134" i="1" a="1"/>
  <c r="AJ142" i="1" a="1"/>
  <c r="AJ146" i="1" a="1"/>
  <c r="AJ154" i="1" a="1"/>
  <c r="AJ158" i="1" a="1"/>
  <c r="AJ166" i="1" a="1"/>
  <c r="AJ170" i="1" a="1"/>
  <c r="AJ178" i="1" a="1"/>
  <c r="AJ186" i="1" a="1"/>
  <c r="AJ198" i="1" a="1"/>
  <c r="AJ206" i="1" a="1"/>
  <c r="AJ214" i="1" a="1"/>
  <c r="AJ222" i="1" a="1"/>
  <c r="AI67" i="1" a="1"/>
  <c r="AI71" i="1" a="1"/>
  <c r="AI95" i="1" a="1"/>
  <c r="AI139" i="1" a="1"/>
  <c r="AI179" i="1" a="1"/>
  <c r="AI195" i="1" a="1"/>
  <c r="AI207" i="1" a="1"/>
  <c r="AI227" i="1" a="1"/>
  <c r="AJ135" i="1" a="1"/>
  <c r="AI7" i="1" a="1"/>
  <c r="AI11" i="1" a="1"/>
  <c r="AI15" i="1" a="1"/>
  <c r="AI19" i="1" a="1"/>
  <c r="AI23" i="1" a="1"/>
  <c r="AI27" i="1" a="1"/>
  <c r="AI31" i="1" a="1"/>
  <c r="AI35" i="1" a="1"/>
  <c r="AI39" i="1" a="1"/>
  <c r="AI43" i="1" a="1"/>
  <c r="AI47" i="1" a="1"/>
  <c r="AI51" i="1" a="1"/>
  <c r="AI55" i="1" a="1"/>
  <c r="AI59" i="1" a="1"/>
  <c r="AI75" i="1" a="1"/>
  <c r="AI87" i="1" a="1"/>
  <c r="AI103" i="1" a="1"/>
  <c r="AI135" i="1" a="1"/>
  <c r="AJ143" i="1" a="1"/>
  <c r="AJ179" i="1" a="1"/>
  <c r="AJ203" i="1" a="1"/>
  <c r="AJ223" i="1" a="1"/>
  <c r="AJ7" i="1" a="1"/>
  <c r="AJ11" i="1" a="1"/>
  <c r="AJ15" i="1" a="1"/>
  <c r="AJ19" i="1" a="1"/>
  <c r="AJ23" i="1" a="1"/>
  <c r="AJ27" i="1" a="1"/>
  <c r="AJ31" i="1" a="1"/>
  <c r="AJ35" i="1" a="1"/>
  <c r="AJ39" i="1" a="1"/>
  <c r="AJ43" i="1" a="1"/>
  <c r="AJ47" i="1" a="1"/>
  <c r="AJ51" i="1" a="1"/>
  <c r="AJ55" i="1" a="1"/>
  <c r="AJ59" i="1" a="1"/>
  <c r="AJ63" i="1" a="1"/>
  <c r="AJ67" i="1" a="1"/>
  <c r="AJ71" i="1" a="1"/>
  <c r="AJ75" i="1" a="1"/>
  <c r="AJ79" i="1" a="1"/>
  <c r="AJ83" i="1" a="1"/>
  <c r="AJ87" i="1" a="1"/>
  <c r="AJ91" i="1" a="1"/>
  <c r="AJ95" i="1" a="1"/>
  <c r="AJ99" i="1" a="1"/>
  <c r="AJ103" i="1" a="1"/>
  <c r="AJ107" i="1" a="1"/>
  <c r="AJ111" i="1" a="1"/>
  <c r="AJ131" i="1" a="1"/>
  <c r="AJ155" i="1" a="1"/>
  <c r="AJ167" i="1" a="1"/>
  <c r="AJ183" i="1" a="1"/>
  <c r="AJ207" i="1" a="1"/>
  <c r="AI196" i="1" a="1"/>
  <c r="AI216" i="1" a="1"/>
  <c r="AI120" i="1" a="1"/>
  <c r="AI124" i="1" a="1"/>
  <c r="AI128" i="1" a="1"/>
  <c r="AI132" i="1" a="1"/>
  <c r="AI136" i="1" a="1"/>
  <c r="AI140" i="1" a="1"/>
  <c r="AI144" i="1" a="1"/>
  <c r="AI148" i="1" a="1"/>
  <c r="AI152" i="1" a="1"/>
  <c r="AI156" i="1" a="1"/>
  <c r="AI160" i="1" a="1"/>
  <c r="AI164" i="1" a="1"/>
  <c r="AI168" i="1" a="1"/>
  <c r="AI172" i="1" a="1"/>
  <c r="AI176" i="1" a="1"/>
  <c r="AI180" i="1" a="1"/>
  <c r="AI184" i="1" a="1"/>
  <c r="AI188" i="1" a="1"/>
  <c r="AI228" i="1" a="1"/>
  <c r="AG184" i="1" a="1"/>
  <c r="AG126" i="1" a="1"/>
  <c r="AC205" i="1" a="1"/>
  <c r="AD212" i="1" a="1"/>
  <c r="AD92" i="1" a="1"/>
  <c r="AG33" i="1" a="1"/>
  <c r="AG191" i="1" a="1"/>
  <c r="AC226" i="1" a="1"/>
  <c r="AC166" i="1" a="1"/>
  <c r="AG176" i="1" a="1"/>
  <c r="AF11" i="1" a="1"/>
  <c r="AC145" i="1" a="1"/>
  <c r="AD55" i="1" a="1"/>
  <c r="AG156" i="1" a="1"/>
  <c r="AG41" i="1" a="1"/>
  <c r="AC8" i="1" a="1"/>
  <c r="AD53" i="1" a="1"/>
  <c r="AD88" i="1" a="1"/>
  <c r="AG214" i="1" a="1"/>
  <c r="AG151" i="1" a="1"/>
  <c r="AF192" i="1" a="1"/>
  <c r="AF29" i="1" a="1"/>
  <c r="AC80" i="1" a="1"/>
  <c r="AF228" i="1" a="1"/>
  <c r="AG86" i="1" a="1"/>
  <c r="AD216" i="1" a="1"/>
  <c r="AC119" i="1" a="1"/>
  <c r="AF40" i="1" a="1"/>
  <c r="AF34" i="1" a="1"/>
  <c r="AD4" i="1" a="1"/>
  <c r="AC115" i="1" a="1"/>
  <c r="AG124" i="1" a="1"/>
  <c r="AG94" i="1" a="1"/>
  <c r="AD224" i="1" a="1"/>
  <c r="AC131" i="1" a="1"/>
  <c r="AD20" i="1" a="1"/>
  <c r="AG40" i="1" a="1"/>
  <c r="AG46" i="1" a="1"/>
  <c r="AC37" i="1" a="1"/>
  <c r="AC35" i="1" a="1"/>
  <c r="AD80" i="1" a="1"/>
  <c r="AD162" i="1" a="1"/>
  <c r="AC51" i="1" a="1"/>
  <c r="AC102" i="1" a="1"/>
  <c r="AF35" i="1" a="1"/>
  <c r="AD169" i="1" a="1"/>
  <c r="AF45" i="1" a="1"/>
  <c r="AG132" i="1" a="1"/>
  <c r="AF225" i="1" a="1"/>
  <c r="AF125" i="1" a="1"/>
  <c r="AG3" i="1" a="1"/>
  <c r="AD103" i="1" a="1"/>
  <c r="AG4" i="1" a="1"/>
  <c r="AG68" i="1" a="1"/>
  <c r="AF19" i="1" a="1"/>
  <c r="AC65" i="1" a="1"/>
  <c r="AC150" i="1" a="1"/>
  <c r="AC14" i="1" a="1"/>
  <c r="AG169" i="1" a="1"/>
  <c r="AC128" i="1" a="1"/>
  <c r="AC154" i="1" a="1"/>
  <c r="AD82" i="1" a="1"/>
  <c r="AF17" i="1" a="1"/>
  <c r="AG39" i="1" a="1"/>
  <c r="AD45" i="1" a="1"/>
  <c r="AD116" i="1" a="1"/>
  <c r="AD160" i="1" a="1"/>
  <c r="AG177" i="1" a="1"/>
  <c r="AC136" i="1" a="1"/>
  <c r="AC138" i="1" a="1"/>
  <c r="AG198" i="1" a="1"/>
  <c r="AG117" i="1" a="1"/>
  <c r="AC76" i="1" a="1"/>
  <c r="AF151" i="1" a="1"/>
  <c r="AF163" i="1" a="1"/>
  <c r="AD57" i="1" a="1"/>
  <c r="AG28" i="1" a="1"/>
  <c r="AG34" i="1" a="1"/>
  <c r="AC25" i="1" a="1"/>
  <c r="AC23" i="1" a="1"/>
  <c r="AF168" i="1" a="1"/>
  <c r="AF210" i="1" a="1"/>
  <c r="AD132" i="1" a="1"/>
  <c r="AD130" i="1" a="1"/>
  <c r="AG36" i="1" a="1"/>
  <c r="AG42" i="1" a="1"/>
  <c r="AC33" i="1" a="1"/>
  <c r="AC31" i="1" a="1"/>
  <c r="AD163" i="1" a="1"/>
  <c r="AF173" i="1" a="1"/>
  <c r="AF47" i="1" a="1"/>
  <c r="AC189" i="1" a="1"/>
  <c r="AD83" i="1" a="1"/>
  <c r="AD13" i="1" a="1"/>
  <c r="AC179" i="1" a="1"/>
  <c r="AF116" i="1" a="1"/>
  <c r="AG159" i="1" a="1"/>
  <c r="AF209" i="1" a="1"/>
  <c r="AG136" i="1" a="1"/>
  <c r="AG106" i="1" a="1"/>
  <c r="AG15" i="1" a="1"/>
  <c r="AF197" i="1" a="1"/>
  <c r="AF207" i="1" a="1"/>
  <c r="AD229" i="1" a="1"/>
  <c r="AD179" i="1" a="1"/>
  <c r="AD90" i="1" a="1"/>
  <c r="AG64" i="1" a="1"/>
  <c r="AG154" i="1" a="1"/>
  <c r="AC61" i="1" a="1"/>
  <c r="AC59" i="1" a="1"/>
  <c r="AF227" i="1" a="1"/>
  <c r="AC137" i="1" a="1"/>
  <c r="AC50" i="1" a="1"/>
  <c r="AD54" i="1" a="1"/>
  <c r="AF203" i="1" a="1"/>
  <c r="AC192" i="1" a="1"/>
  <c r="AD98" i="1" a="1"/>
  <c r="AC225" i="1" a="1"/>
  <c r="AC200" i="1" a="1"/>
  <c r="AC140" i="1" a="1"/>
  <c r="AF119" i="1" a="1"/>
  <c r="AD152" i="1" a="1"/>
  <c r="AF10" i="1" a="1"/>
  <c r="AF24" i="1" a="1"/>
  <c r="AD159" i="1" a="1"/>
  <c r="AC173" i="1" a="1"/>
  <c r="AF43" i="1" a="1"/>
  <c r="AD73" i="1" a="1"/>
  <c r="AF79" i="1" a="1"/>
  <c r="AC27" i="1" a="1"/>
  <c r="AG27" i="1" a="1"/>
  <c r="AG164" i="1" a="1"/>
  <c r="AF97" i="1" a="1"/>
  <c r="AF9" i="1" a="1"/>
  <c r="AG31" i="1" a="1"/>
  <c r="AD37" i="1" a="1"/>
  <c r="AD22" i="1" a="1"/>
  <c r="AF80" i="1" a="1"/>
  <c r="AF90" i="1" a="1"/>
  <c r="AD44" i="1" a="1"/>
  <c r="AD6" i="1" a="1"/>
  <c r="AC75" i="1" a="1"/>
  <c r="AG37" i="1" a="1"/>
  <c r="AC4" i="1" a="1"/>
  <c r="AC230" i="1" a="1"/>
  <c r="AC77" i="1" a="1"/>
  <c r="AF88" i="1" a="1"/>
  <c r="AF98" i="1" a="1"/>
  <c r="AD52" i="1" a="1"/>
  <c r="AD114" i="1" a="1"/>
  <c r="AF28" i="1" a="1"/>
  <c r="AF22" i="1" a="1"/>
  <c r="AD188" i="1" a="1"/>
  <c r="AD223" i="1" a="1"/>
  <c r="AG185" i="1" a="1"/>
  <c r="AF124" i="1" a="1"/>
  <c r="AF73" i="1" a="1"/>
  <c r="AG95" i="1" a="1"/>
  <c r="AD105" i="1" a="1"/>
  <c r="AC111" i="1" a="1"/>
  <c r="AF144" i="1" a="1"/>
  <c r="AF186" i="1" a="1"/>
  <c r="AD108" i="1" a="1"/>
  <c r="AD74" i="1" a="1"/>
  <c r="AD24" i="1" a="1"/>
  <c r="AG109" i="1" a="1"/>
  <c r="AC68" i="1" a="1"/>
  <c r="AC34" i="1" a="1"/>
  <c r="AD49" i="1" a="1"/>
  <c r="AF152" i="1" a="1"/>
  <c r="AF194" i="1" a="1"/>
  <c r="AD204" i="1" a="1"/>
  <c r="AD18" i="1" a="1"/>
  <c r="AF92" i="1" a="1"/>
  <c r="AF102" i="1" a="1"/>
  <c r="AD56" i="1" a="1"/>
  <c r="AD35" i="1" a="1"/>
  <c r="AF74" i="1" a="1"/>
  <c r="AC117" i="1" a="1"/>
  <c r="AF33" i="1" a="1"/>
  <c r="AG55" i="1" a="1"/>
  <c r="AD61" i="1" a="1"/>
  <c r="AD211" i="1" a="1"/>
  <c r="AG96" i="1" a="1"/>
  <c r="AF123" i="1" a="1"/>
  <c r="AC97" i="1" a="1"/>
  <c r="AD11" i="1" a="1"/>
  <c r="AF41" i="1" a="1"/>
  <c r="AG63" i="1" a="1"/>
  <c r="AD69" i="1" a="1"/>
  <c r="AG71" i="1" a="1"/>
  <c r="AC44" i="1" a="1"/>
  <c r="AF223" i="1" a="1"/>
  <c r="AG199" i="1" a="1"/>
  <c r="AC182" i="1" a="1"/>
  <c r="AF142" i="1" a="1"/>
  <c r="AD154" i="1" a="1"/>
  <c r="AG81" i="1" a="1"/>
  <c r="AG44" i="1" a="1"/>
  <c r="AD181" i="1" a="1"/>
  <c r="AC217" i="1" a="1"/>
  <c r="AF189" i="1" a="1"/>
  <c r="AF55" i="1" a="1"/>
  <c r="AF221" i="1" a="1"/>
  <c r="AF229" i="1" a="1"/>
  <c r="AG23" i="1" a="1"/>
  <c r="AD29" i="1" a="1"/>
  <c r="AD43" i="1" a="1"/>
  <c r="AD127" i="1" a="1"/>
  <c r="AF69" i="1" a="1"/>
  <c r="AG91" i="1" a="1"/>
  <c r="AD97" i="1" a="1"/>
  <c r="AD121" i="1" a="1"/>
  <c r="AD93" i="1" a="1"/>
  <c r="AC90" i="1" a="1"/>
  <c r="AF107" i="1" a="1"/>
  <c r="AG170" i="1" a="1"/>
  <c r="AG135" i="1" a="1"/>
  <c r="AC86" i="1" a="1"/>
  <c r="AF18" i="1" a="1"/>
  <c r="AG182" i="1" a="1"/>
  <c r="AG207" i="1" a="1"/>
  <c r="AC146" i="1" a="1"/>
  <c r="AC83" i="1" a="1"/>
  <c r="AF208" i="1" a="1"/>
  <c r="AG66" i="1" a="1"/>
  <c r="AD176" i="1" a="1"/>
  <c r="AC87" i="1" a="1"/>
  <c r="AG56" i="1" a="1"/>
  <c r="AG173" i="1" a="1"/>
  <c r="AC132" i="1" a="1"/>
  <c r="AC158" i="1" a="1"/>
  <c r="AD117" i="1" a="1"/>
  <c r="AF216" i="1" a="1"/>
  <c r="AG74" i="1" a="1"/>
  <c r="AD213" i="1" a="1"/>
  <c r="AC16" i="1" a="1"/>
  <c r="AF156" i="1" a="1"/>
  <c r="AF198" i="1" a="1"/>
  <c r="AD120" i="1" a="1"/>
  <c r="AF32" i="1" a="1"/>
  <c r="AF26" i="1" a="1"/>
  <c r="AD174" i="1" a="1"/>
  <c r="AF101" i="1" a="1"/>
  <c r="AG119" i="1" a="1"/>
  <c r="AD141" i="1" a="1"/>
  <c r="AD166" i="1" a="1"/>
  <c r="AG224" i="1" a="1"/>
  <c r="AF39" i="1" a="1"/>
  <c r="AC181" i="1" a="1"/>
  <c r="AD75" i="1" a="1"/>
  <c r="AF153" i="1" a="1"/>
  <c r="AG215" i="1" a="1"/>
  <c r="AC54" i="1" a="1"/>
  <c r="AC153" i="1" a="1"/>
  <c r="AC10" i="1" a="1"/>
  <c r="AG65" i="1" a="1"/>
  <c r="AC32" i="1" a="1"/>
  <c r="AD155" i="1" a="1"/>
  <c r="AF222" i="1" a="1"/>
  <c r="AC159" i="1" a="1"/>
  <c r="AG166" i="1" a="1"/>
  <c r="AG108" i="1" a="1"/>
  <c r="AC109" i="1" a="1"/>
  <c r="AC198" i="1" a="1"/>
  <c r="AF193" i="1" a="1"/>
  <c r="AG11" i="1" a="1"/>
  <c r="AF58" i="1" a="1"/>
  <c r="AF65" i="1" a="1"/>
  <c r="AG87" i="1" a="1"/>
  <c r="AC183" i="1" a="1"/>
  <c r="AC125" i="1" a="1"/>
  <c r="AF159" i="1" a="1"/>
  <c r="AF133" i="1" a="1"/>
  <c r="AG77" i="1" a="1"/>
  <c r="AC118" i="1" a="1"/>
  <c r="AG116" i="1" a="1"/>
  <c r="AF5" i="1" a="1"/>
  <c r="AG29" i="1" a="1"/>
  <c r="AG171" i="1" a="1"/>
  <c r="AD194" i="1" a="1"/>
  <c r="AF150" i="1" a="1"/>
  <c r="AG188" i="1" a="1"/>
  <c r="AG134" i="1" a="1"/>
  <c r="AC213" i="1" a="1"/>
  <c r="AD183" i="1" a="1"/>
  <c r="AC203" i="1" a="1"/>
  <c r="AF215" i="1" a="1"/>
  <c r="AC196" i="1" a="1"/>
  <c r="AD102" i="1" a="1"/>
  <c r="AC42" i="1" a="1"/>
  <c r="AG200" i="1" a="1"/>
  <c r="AG146" i="1" a="1"/>
  <c r="AC7" i="1" a="1"/>
  <c r="AD124" i="1" a="1"/>
  <c r="AF220" i="1" a="1"/>
  <c r="AG78" i="1" a="1"/>
  <c r="AD208" i="1" a="1"/>
  <c r="AF96" i="1" a="1"/>
  <c r="AF114" i="1" a="1"/>
  <c r="AC227" i="1" a="1"/>
  <c r="AF179" i="1" a="1"/>
  <c r="AG139" i="1" a="1"/>
  <c r="AC162" i="1" a="1"/>
  <c r="AD27" i="1" a="1"/>
  <c r="AF129" i="1" a="1"/>
  <c r="AF147" i="1" a="1"/>
  <c r="AD129" i="1" a="1"/>
  <c r="AF57" i="1" a="1"/>
  <c r="AF211" i="1" a="1"/>
  <c r="AG175" i="1" a="1"/>
  <c r="AC174" i="1" a="1"/>
  <c r="AC66" i="1" a="1"/>
  <c r="AF64" i="1" a="1"/>
  <c r="AG137" i="1" a="1"/>
  <c r="AC96" i="1" a="1"/>
  <c r="AC114" i="1" a="1"/>
  <c r="AG102" i="1" a="1"/>
  <c r="AD23" i="1" a="1"/>
  <c r="AF59" i="1" a="1"/>
  <c r="AF177" i="1" a="1"/>
  <c r="AC197" i="1" a="1"/>
  <c r="AG230" i="1" a="1"/>
  <c r="AF53" i="1" a="1"/>
  <c r="AG75" i="1" a="1"/>
  <c r="AF67" i="1" a="1"/>
  <c r="AG229" i="1" a="1"/>
  <c r="AG179" i="1" a="1"/>
  <c r="AC82" i="1" a="1"/>
  <c r="AC218" i="1" a="1"/>
  <c r="AC144" i="1" a="1"/>
  <c r="AG25" i="1" a="1"/>
  <c r="AG183" i="1" a="1"/>
  <c r="AC214" i="1" a="1"/>
  <c r="AC15" i="1" a="1"/>
  <c r="AD77" i="1" a="1"/>
  <c r="AD198" i="1" a="1"/>
  <c r="AC185" i="1" a="1"/>
  <c r="AG48" i="1" a="1"/>
  <c r="AC29" i="1" a="1"/>
  <c r="AD145" i="1" a="1"/>
  <c r="AG101" i="1" a="1"/>
  <c r="AC60" i="1" a="1"/>
  <c r="AD230" i="1" a="1"/>
  <c r="AC172" i="1" a="1"/>
  <c r="AG8" i="1" a="1"/>
  <c r="AG14" i="1" a="1"/>
  <c r="AC5" i="1" a="1"/>
  <c r="AD207" i="1" a="1"/>
  <c r="AF20" i="1" a="1"/>
  <c r="AF14" i="1" a="1"/>
  <c r="AD180" i="1" a="1"/>
  <c r="AD202" i="1" a="1"/>
  <c r="AD106" i="1" a="1"/>
  <c r="AG16" i="1" a="1"/>
  <c r="AG22" i="1" a="1"/>
  <c r="AD59" i="1" a="1"/>
  <c r="AD161" i="1" a="1"/>
  <c r="AG208" i="1" a="1"/>
  <c r="AG150" i="1" a="1"/>
  <c r="AD110" i="1" a="1"/>
  <c r="AF160" i="1" a="1"/>
  <c r="AF202" i="1" a="1"/>
  <c r="AF61" i="1" a="1"/>
  <c r="AG53" i="1" a="1"/>
  <c r="AC20" i="1" a="1"/>
  <c r="AC195" i="1" a="1"/>
  <c r="AG120" i="1" a="1"/>
  <c r="AF37" i="1" a="1"/>
  <c r="AG59" i="1" a="1"/>
  <c r="AD65" i="1" a="1"/>
  <c r="AG62" i="1" a="1"/>
  <c r="AG61" i="1" a="1"/>
  <c r="AC28" i="1" a="1"/>
  <c r="AD139" i="1" a="1"/>
  <c r="AD143" i="1" a="1"/>
  <c r="AD28" i="1" a="1"/>
  <c r="AG201" i="1" a="1"/>
  <c r="AC160" i="1" a="1"/>
  <c r="AC211" i="1" a="1"/>
  <c r="AG210" i="1" a="1"/>
  <c r="AD87" i="1" a="1"/>
  <c r="AC169" i="1" a="1"/>
  <c r="AF141" i="1" a="1"/>
  <c r="AC186" i="1" a="1"/>
  <c r="AF185" i="1" a="1"/>
  <c r="AG209" i="1" a="1"/>
  <c r="AG131" i="1" a="1"/>
  <c r="AG227" i="1" a="1"/>
  <c r="AG21" i="1" a="1"/>
  <c r="AG143" i="1" a="1"/>
  <c r="AC210" i="1" a="1"/>
  <c r="AC26" i="1" a="1"/>
  <c r="AD60" i="1" a="1"/>
  <c r="AG97" i="1" a="1"/>
  <c r="AC56" i="1" a="1"/>
  <c r="AC22" i="1" a="1"/>
  <c r="AG221" i="1" a="1"/>
  <c r="AD205" i="1" a="1"/>
  <c r="AF149" i="1" a="1"/>
  <c r="AG7" i="1" a="1"/>
  <c r="AF205" i="1" a="1"/>
  <c r="AD99" i="1" a="1"/>
  <c r="AC190" i="1" a="1"/>
  <c r="AG216" i="1" a="1"/>
  <c r="AC129" i="1" a="1"/>
  <c r="AF155" i="1" a="1"/>
  <c r="AG79" i="1" a="1"/>
  <c r="AG165" i="1" a="1"/>
  <c r="AC124" i="1" a="1"/>
  <c r="AD199" i="1" a="1"/>
  <c r="AD85" i="1" a="1"/>
  <c r="AG72" i="1" a="1"/>
  <c r="AF31" i="1" a="1"/>
  <c r="AC69" i="1" a="1"/>
  <c r="AC67" i="1" a="1"/>
  <c r="AF84" i="1" a="1"/>
  <c r="AF94" i="1" a="1"/>
  <c r="AD48" i="1" a="1"/>
  <c r="AD10" i="1" a="1"/>
  <c r="AD14" i="1" a="1"/>
  <c r="AG80" i="1" a="1"/>
  <c r="AF75" i="1" a="1"/>
  <c r="AD123" i="1" a="1"/>
  <c r="AC165" i="1" a="1"/>
  <c r="AG20" i="1" a="1"/>
  <c r="AG26" i="1" a="1"/>
  <c r="AD67" i="1" a="1"/>
  <c r="AF224" i="1" a="1"/>
  <c r="AG82" i="1" a="1"/>
  <c r="AG202" i="1" a="1"/>
  <c r="AG125" i="1" a="1"/>
  <c r="AC84" i="1" a="1"/>
  <c r="AC58" i="1" a="1"/>
  <c r="AF154" i="1" a="1"/>
  <c r="AF145" i="1" a="1"/>
  <c r="AG123" i="1" a="1"/>
  <c r="AC38" i="1" a="1"/>
  <c r="AC229" i="1" a="1"/>
  <c r="AG133" i="1" a="1"/>
  <c r="AC92" i="1" a="1"/>
  <c r="AC110" i="1" a="1"/>
  <c r="AD42" i="1" a="1"/>
  <c r="AD178" i="1" a="1"/>
  <c r="AF110" i="1" a="1"/>
  <c r="AC224" i="1" a="1"/>
  <c r="AD146" i="1" a="1"/>
  <c r="AF135" i="1" a="1"/>
  <c r="AD149" i="1" a="1"/>
  <c r="AD21" i="1" a="1"/>
  <c r="AF49" i="1" a="1"/>
  <c r="AC161" i="1" a="1"/>
  <c r="AG225" i="1" a="1"/>
  <c r="AG9" i="1" a="1"/>
  <c r="AG203" i="1" a="1"/>
  <c r="AD209" i="1" a="1"/>
  <c r="AG93" i="1" a="1"/>
  <c r="AC52" i="1" a="1"/>
  <c r="AC18" i="1" a="1"/>
  <c r="AD94" i="1" a="1"/>
  <c r="AG52" i="1" a="1"/>
  <c r="AG161" i="1" a="1"/>
  <c r="AC120" i="1" a="1"/>
  <c r="AC142" i="1" a="1"/>
  <c r="AF175" i="1" a="1"/>
  <c r="AC64" i="1" a="1"/>
  <c r="AD170" i="1" a="1"/>
  <c r="AF93" i="1" a="1"/>
  <c r="AF104" i="1" a="1"/>
  <c r="AD30" i="1" a="1"/>
  <c r="AC209" i="1" a="1"/>
  <c r="AC105" i="1" a="1"/>
  <c r="AF52" i="1" a="1"/>
  <c r="AF184" i="1" a="1"/>
  <c r="AC193" i="1" a="1"/>
  <c r="AC93" i="1" a="1"/>
  <c r="AF81" i="1" a="1"/>
  <c r="AC171" i="1" a="1"/>
  <c r="AG92" i="1" a="1"/>
  <c r="AG112" i="1" a="1"/>
  <c r="AC127" i="1" a="1"/>
  <c r="AD46" i="1" a="1"/>
  <c r="AF3" i="1" a="1"/>
  <c r="AF169" i="1" a="1"/>
  <c r="AG142" i="1" a="1"/>
  <c r="AD215" i="1" a="1"/>
  <c r="AF87" i="1" a="1"/>
  <c r="AG194" i="1" a="1"/>
  <c r="AD184" i="1" a="1"/>
  <c r="AD131" i="1" a="1"/>
  <c r="AF157" i="1" a="1"/>
  <c r="AF130" i="1" a="1"/>
  <c r="AD16" i="1" a="1"/>
  <c r="AD193" i="1" a="1"/>
  <c r="AF115" i="1" a="1"/>
  <c r="AC3" i="1" a="1"/>
  <c r="AD63" i="1" a="1"/>
  <c r="AF183" i="1" a="1"/>
  <c r="AC188" i="1" a="1"/>
  <c r="AC46" i="1" a="1"/>
  <c r="AD195" i="1" a="1"/>
  <c r="AG172" i="1" a="1"/>
  <c r="AF7" i="1" a="1"/>
  <c r="AC141" i="1" a="1"/>
  <c r="AD51" i="1" a="1"/>
  <c r="AF148" i="1" a="1"/>
  <c r="AF190" i="1" a="1"/>
  <c r="AD112" i="1" a="1"/>
  <c r="AD78" i="1" a="1"/>
  <c r="AF60" i="1" a="1"/>
  <c r="AG180" i="1" a="1"/>
  <c r="AF15" i="1" a="1"/>
  <c r="AD157" i="1" a="1"/>
  <c r="AD137" i="1" a="1"/>
  <c r="AG84" i="1" a="1"/>
  <c r="AF83" i="1" a="1"/>
  <c r="AG149" i="1" a="1"/>
  <c r="AG212" i="1" a="1"/>
  <c r="AG158" i="1" a="1"/>
  <c r="AG19" i="1" a="1"/>
  <c r="AG189" i="1" a="1"/>
  <c r="AC148" i="1" a="1"/>
  <c r="AC206" i="1" a="1"/>
  <c r="AG163" i="1" a="1"/>
  <c r="AF195" i="1" a="1"/>
  <c r="AG211" i="1" a="1"/>
  <c r="AC170" i="1" a="1"/>
  <c r="AC130" i="1" a="1"/>
  <c r="AG197" i="1" a="1"/>
  <c r="AC156" i="1" a="1"/>
  <c r="AC163" i="1" a="1"/>
  <c r="AD158" i="1" a="1"/>
  <c r="AF48" i="1" a="1"/>
  <c r="AF42" i="1" a="1"/>
  <c r="AD12" i="1" a="1"/>
  <c r="AC151" i="1" a="1"/>
  <c r="AF51" i="1" a="1"/>
  <c r="AD185" i="1" a="1"/>
  <c r="AF128" i="1" a="1"/>
  <c r="AG85" i="1" a="1"/>
  <c r="AC113" i="1" a="1"/>
  <c r="AF162" i="1" a="1"/>
  <c r="AG73" i="1" a="1"/>
  <c r="AC40" i="1" a="1"/>
  <c r="AD221" i="1" a="1"/>
  <c r="AG157" i="1" a="1"/>
  <c r="AC116" i="1" a="1"/>
  <c r="AC134" i="1" a="1"/>
  <c r="AD147" i="1" a="1"/>
  <c r="AG155" i="1" a="1"/>
  <c r="AF171" i="1" a="1"/>
  <c r="AC184" i="1" a="1"/>
  <c r="AD86" i="1" a="1"/>
  <c r="AF158" i="1" a="1"/>
  <c r="AD190" i="1" a="1"/>
  <c r="AD36" i="1" a="1"/>
  <c r="AG105" i="1" a="1"/>
  <c r="AG113" i="1" a="1"/>
  <c r="AD173" i="1" a="1"/>
  <c r="AG13" i="1" a="1"/>
  <c r="AD151" i="1" a="1"/>
  <c r="AG6" i="1" a="1"/>
  <c r="AG103" i="1" a="1"/>
  <c r="AG181" i="1" a="1"/>
  <c r="AC112" i="1" a="1"/>
  <c r="AG100" i="1" a="1"/>
  <c r="AD9" i="1" a="1"/>
  <c r="AC57" i="1" a="1"/>
  <c r="AD107" i="1" a="1"/>
  <c r="AD122" i="1" a="1"/>
  <c r="AC13" i="1" a="1"/>
  <c r="AG121" i="1" a="1"/>
  <c r="AD79" i="1" a="1"/>
  <c r="AG148" i="1" a="1"/>
  <c r="AG110" i="1" a="1"/>
  <c r="AG58" i="1" a="1"/>
  <c r="AD39" i="1" a="1"/>
  <c r="AG51" i="1" a="1"/>
  <c r="AD125" i="1" a="1"/>
  <c r="AF46" i="1" a="1"/>
  <c r="AF165" i="1" a="1"/>
  <c r="AD31" i="1" a="1"/>
  <c r="AD33" i="1" a="1"/>
  <c r="AF12" i="1" a="1"/>
  <c r="AF6" i="1" a="1"/>
  <c r="AD227" i="1" a="1"/>
  <c r="AC103" i="1" a="1"/>
  <c r="AD95" i="1" a="1"/>
  <c r="AF105" i="1" a="1"/>
  <c r="AF91" i="1" a="1"/>
  <c r="AD197" i="1" a="1"/>
  <c r="AD115" i="1" a="1"/>
  <c r="AF212" i="1" a="1"/>
  <c r="AG70" i="1" a="1"/>
  <c r="AD200" i="1" a="1"/>
  <c r="AC91" i="1" a="1"/>
  <c r="AD201" i="1" a="1"/>
  <c r="AF113" i="1" a="1"/>
  <c r="AF99" i="1" a="1"/>
  <c r="AC17" i="1" a="1"/>
  <c r="AD218" i="1" a="1"/>
  <c r="AG196" i="1" a="1"/>
  <c r="AF23" i="1" a="1"/>
  <c r="AF143" i="1" a="1"/>
  <c r="AG24" i="1" a="1"/>
  <c r="AG30" i="1" a="1"/>
  <c r="AC177" i="1" a="1"/>
  <c r="AF78" i="1" a="1"/>
  <c r="AC212" i="1" a="1"/>
  <c r="AD126" i="1" a="1"/>
  <c r="AC49" i="1" a="1"/>
  <c r="AG57" i="1" a="1"/>
  <c r="AC24" i="1" a="1"/>
  <c r="AC207" i="1" a="1"/>
  <c r="AD182" i="1" a="1"/>
  <c r="AF106" i="1" a="1"/>
  <c r="AC220" i="1" a="1"/>
  <c r="AD142" i="1" a="1"/>
  <c r="AC147" i="1" a="1"/>
  <c r="AF112" i="1" a="1"/>
  <c r="AF134" i="1" a="1"/>
  <c r="AD76" i="1" a="1"/>
  <c r="AD38" i="1" a="1"/>
  <c r="AG195" i="1" a="1"/>
  <c r="AC45" i="1" a="1"/>
  <c r="AG17" i="1" a="1"/>
  <c r="AG5" i="1" a="1"/>
  <c r="AD81" i="1" a="1"/>
  <c r="AF199" i="1" a="1"/>
  <c r="AG145" i="1" a="1"/>
  <c r="AC104" i="1" a="1"/>
  <c r="AC78" i="1" a="1"/>
  <c r="AG222" i="1" a="1"/>
  <c r="AC180" i="1" a="1"/>
  <c r="AD62" i="1" a="1"/>
  <c r="AD70" i="1" a="1"/>
  <c r="AF8" i="1" a="1"/>
  <c r="AF178" i="1" a="1"/>
  <c r="AD225" i="1" a="1"/>
  <c r="AG219" i="1" a="1"/>
  <c r="AF146" i="1" a="1"/>
  <c r="AG218" i="1" a="1"/>
  <c r="AG168" i="1" a="1"/>
  <c r="AD171" i="1" a="1"/>
  <c r="AG10" i="1" a="1"/>
  <c r="AF109" i="1" a="1"/>
  <c r="AG89" i="1" a="1"/>
  <c r="AG45" i="1" a="1"/>
  <c r="AD192" i="1" a="1"/>
  <c r="AD165" i="1" a="1"/>
  <c r="AG178" i="1" a="1"/>
  <c r="AD19" i="1" a="1"/>
  <c r="AC175" i="1" a="1"/>
  <c r="AF226" i="1" a="1"/>
  <c r="AG118" i="1" a="1"/>
  <c r="AC202" i="1" a="1"/>
  <c r="AD7" i="1" a="1"/>
  <c r="AD15" i="1" a="1"/>
  <c r="AG217" i="1" a="1"/>
  <c r="AC55" i="1" a="1"/>
  <c r="AD203" i="1" a="1"/>
  <c r="AC178" i="1" a="1"/>
  <c r="AD71" i="1" a="1"/>
  <c r="AG67" i="1" a="1"/>
  <c r="AG32" i="1" a="1"/>
  <c r="AF139" i="1" a="1"/>
  <c r="AF76" i="1" a="1"/>
  <c r="AF82" i="1" a="1"/>
  <c r="AD40" i="1" a="1"/>
  <c r="AC79" i="1" a="1"/>
  <c r="AF213" i="1" a="1"/>
  <c r="AF13" i="1" a="1"/>
  <c r="AG35" i="1" a="1"/>
  <c r="AD41" i="1" a="1"/>
  <c r="AC149" i="1" a="1"/>
  <c r="AG192" i="1" a="1"/>
  <c r="AG138" i="1" a="1"/>
  <c r="AC221" i="1" a="1"/>
  <c r="AD191" i="1" a="1"/>
  <c r="AC191" i="1" a="1"/>
  <c r="AF21" i="1" a="1"/>
  <c r="AG43" i="1" a="1"/>
  <c r="AC81" i="1" a="1"/>
  <c r="AC19" i="1" a="1"/>
  <c r="AF117" i="1" a="1"/>
  <c r="AF103" i="1" a="1"/>
  <c r="AC74" i="1" a="1"/>
  <c r="AG88" i="1" a="1"/>
  <c r="AF111" i="1" a="1"/>
  <c r="AF36" i="1" a="1"/>
  <c r="AF30" i="1" a="1"/>
  <c r="AD196" i="1" a="1"/>
  <c r="AD222" i="1" a="1"/>
  <c r="AD50" i="1" a="1"/>
  <c r="AG129" i="1" a="1"/>
  <c r="AC88" i="1" a="1"/>
  <c r="AC98" i="1" a="1"/>
  <c r="AF44" i="1" a="1"/>
  <c r="AF38" i="1" a="1"/>
  <c r="AD8" i="1" a="1"/>
  <c r="AC139" i="1" a="1"/>
  <c r="AC167" i="1" a="1"/>
  <c r="AF176" i="1" a="1"/>
  <c r="AF218" i="1" a="1"/>
  <c r="AD140" i="1" a="1"/>
  <c r="AD150" i="1" a="1"/>
  <c r="AC36" i="1" a="1"/>
  <c r="AD17" i="1" a="1"/>
  <c r="AG83" i="1" a="1"/>
  <c r="AG69" i="1" a="1"/>
  <c r="AC70" i="1" a="1"/>
  <c r="AD89" i="1" a="1"/>
  <c r="AG213" i="1" a="1"/>
  <c r="AC168" i="1" a="1"/>
  <c r="AF4" i="1" a="1"/>
  <c r="AF170" i="1" a="1"/>
  <c r="AD217" i="1" a="1"/>
  <c r="AD186" i="1" a="1"/>
  <c r="AD175" i="1" a="1"/>
  <c r="AF72" i="1" a="1"/>
  <c r="AF70" i="1" a="1"/>
  <c r="AC223" i="1" a="1"/>
  <c r="W3" i="1" a="1"/>
  <c r="AD164" i="1" a="1"/>
  <c r="AC121" i="1" a="1"/>
  <c r="AC30" i="1" a="1"/>
  <c r="AD206" i="1" a="1"/>
  <c r="AD119" i="1" a="1"/>
  <c r="AG153" i="1" a="1"/>
  <c r="AG104" i="1" a="1"/>
  <c r="AF219" i="1" a="1"/>
  <c r="AC89" i="1" a="1"/>
  <c r="AD220" i="1" a="1"/>
  <c r="AF137" i="1" a="1"/>
  <c r="AD91" i="1" a="1"/>
  <c r="AC100" i="1" a="1"/>
  <c r="AF187" i="1" a="1"/>
  <c r="AF16" i="1" a="1"/>
  <c r="AG167" i="1" a="1"/>
  <c r="AF66" i="1" a="1"/>
  <c r="AC11" i="1" a="1"/>
  <c r="AD5" i="1" a="1"/>
  <c r="AF140" i="1" a="1"/>
  <c r="AF182" i="1" a="1"/>
  <c r="AD104" i="1" a="1"/>
  <c r="AG115" i="1" a="1"/>
  <c r="AG114" i="1" a="1"/>
  <c r="AF77" i="1" a="1"/>
  <c r="AG99" i="1" a="1"/>
  <c r="AD109" i="1" a="1"/>
  <c r="AC106" i="1" a="1"/>
  <c r="AG12" i="1" a="1"/>
  <c r="AG18" i="1" a="1"/>
  <c r="AC9" i="1" a="1"/>
  <c r="AD219" i="1" a="1"/>
  <c r="AC187" i="1" a="1"/>
  <c r="AF85" i="1" a="1"/>
  <c r="AG107" i="1" a="1"/>
  <c r="AC157" i="1" a="1"/>
  <c r="AF54" i="1" a="1"/>
  <c r="AF25" i="1" a="1"/>
  <c r="AG47" i="1" a="1"/>
  <c r="AC126" i="1" a="1"/>
  <c r="AG204" i="1" a="1"/>
  <c r="AF27" i="1" a="1"/>
  <c r="AF100" i="1" a="1"/>
  <c r="AF118" i="1" a="1"/>
  <c r="AD64" i="1" a="1"/>
  <c r="AD26" i="1" a="1"/>
  <c r="AG140" i="1" a="1"/>
  <c r="AG193" i="1" a="1"/>
  <c r="AC152" i="1" a="1"/>
  <c r="AC222" i="1" a="1"/>
  <c r="AF108" i="1" a="1"/>
  <c r="AF126" i="1" a="1"/>
  <c r="AD72" i="1" a="1"/>
  <c r="AD34" i="1" a="1"/>
  <c r="AC39" i="1" a="1"/>
  <c r="AG128" i="1" a="1"/>
  <c r="AG98" i="1" a="1"/>
  <c r="AD228" i="1" a="1"/>
  <c r="AC135" i="1" a="1"/>
  <c r="AC164" i="1" a="1"/>
  <c r="AC194" i="1" a="1"/>
  <c r="AC48" i="1" a="1"/>
  <c r="AG141" i="1" a="1"/>
  <c r="AC6" i="1" a="1"/>
  <c r="AC215" i="1" a="1"/>
  <c r="AF138" i="1" a="1"/>
  <c r="AD84" i="1" a="1"/>
  <c r="AF68" i="1" a="1"/>
  <c r="AF62" i="1" a="1"/>
  <c r="AD32" i="1" a="1"/>
  <c r="AC219" i="1" a="1"/>
  <c r="AC63" i="1" a="1"/>
  <c r="AF136" i="1" a="1"/>
  <c r="AF174" i="1" a="1"/>
  <c r="AD100" i="1" a="1"/>
  <c r="AD66" i="1" a="1"/>
  <c r="AD168" i="1" a="1"/>
  <c r="AD226" i="1" a="1"/>
  <c r="AF188" i="1" a="1"/>
  <c r="AF196" i="1" a="1"/>
  <c r="AD214" i="1" a="1"/>
  <c r="AC85" i="1" a="1"/>
  <c r="AF95" i="1" a="1"/>
  <c r="AD133" i="1" a="1"/>
  <c r="AC12" i="1" a="1"/>
  <c r="AG162" i="1" a="1"/>
  <c r="AC123" i="1" a="1"/>
  <c r="AC41" i="1" a="1"/>
  <c r="AF181" i="1" a="1"/>
  <c r="AG160" i="1" a="1"/>
  <c r="AD210" i="1" a="1"/>
  <c r="AC99" i="1" a="1"/>
  <c r="AC101" i="1" a="1"/>
  <c r="AF180" i="1" a="1"/>
  <c r="AG226" i="1" a="1"/>
  <c r="AG60" i="1" a="1"/>
  <c r="AG152" i="1" a="1"/>
  <c r="AD189" i="1" a="1"/>
  <c r="AG174" i="1" a="1"/>
  <c r="AG144" i="1" a="1"/>
  <c r="AG38" i="1" a="1"/>
  <c r="AG127" i="1" a="1"/>
  <c r="AF201" i="1" a="1"/>
  <c r="AF217" i="1" a="1"/>
  <c r="AC21" i="1" a="1"/>
  <c r="AF204" i="1" a="1"/>
  <c r="AG54" i="1" a="1"/>
  <c r="AD172" i="1" a="1"/>
  <c r="AC208" i="1" a="1"/>
  <c r="AC176" i="1" a="1"/>
  <c r="AG190" i="1" a="1"/>
  <c r="AG187" i="1" a="1"/>
  <c r="AC94" i="1" a="1"/>
  <c r="AC155" i="1" a="1"/>
  <c r="AG76" i="1" a="1"/>
  <c r="AF63" i="1" a="1"/>
  <c r="AC73" i="1" a="1"/>
  <c r="AC71" i="1" a="1"/>
  <c r="X3" i="1" a="1"/>
  <c r="AG206" i="1" a="1"/>
  <c r="AG147" i="1" a="1"/>
  <c r="AD101" i="1" a="1"/>
  <c r="AC108" i="1" a="1"/>
  <c r="AF89" i="1" a="1"/>
  <c r="AG111" i="1" a="1"/>
  <c r="AC47" i="1" a="1"/>
  <c r="AF121" i="1" a="1"/>
  <c r="AG223" i="1" a="1"/>
  <c r="AF164" i="1" a="1"/>
  <c r="AF206" i="1" a="1"/>
  <c r="AD128" i="1" a="1"/>
  <c r="AD118" i="1" a="1"/>
  <c r="AG130" i="1" a="1"/>
  <c r="AF86" i="1" a="1"/>
  <c r="AC216" i="1" a="1"/>
  <c r="AD134" i="1" a="1"/>
  <c r="AF172" i="1" a="1"/>
  <c r="AF214" i="1" a="1"/>
  <c r="AD136" i="1" a="1"/>
  <c r="AD138" i="1" a="1"/>
  <c r="AD3" i="1" a="1"/>
  <c r="AF161" i="1" a="1"/>
  <c r="AG186" i="1" a="1"/>
  <c r="AD177" i="1" a="1"/>
  <c r="AC143" i="1" a="1"/>
  <c r="AC228" i="1" a="1"/>
  <c r="AC122" i="1" a="1"/>
  <c r="AD25" i="1" a="1"/>
  <c r="AG205" i="1" a="1"/>
  <c r="AF230" i="1" a="1"/>
  <c r="AF56" i="1" a="1"/>
  <c r="AF50" i="1" a="1"/>
  <c r="AD148" i="1" a="1"/>
  <c r="AF132" i="1" a="1"/>
  <c r="AF166" i="1" a="1"/>
  <c r="AD96" i="1" a="1"/>
  <c r="AD58" i="1" a="1"/>
  <c r="AD47" i="1" a="1"/>
  <c r="AF200" i="1" a="1"/>
  <c r="AF191" i="1" a="1"/>
  <c r="AG50" i="1" a="1"/>
  <c r="AF120" i="1" a="1"/>
  <c r="AC43" i="1" a="1"/>
  <c r="AD111" i="1" a="1"/>
  <c r="AG122" i="1" a="1"/>
  <c r="AC201" i="1" a="1"/>
  <c r="AC53" i="1" a="1"/>
  <c r="AC72" i="1" a="1"/>
  <c r="AG220" i="1" a="1"/>
  <c r="AC95" i="1" a="1"/>
  <c r="AF122" i="1" a="1"/>
  <c r="AD68" i="1" a="1"/>
  <c r="AF131" i="1" a="1"/>
  <c r="AD187" i="1" a="1"/>
  <c r="AD113" i="1" a="1"/>
  <c r="AG49" i="1" a="1"/>
  <c r="AG90" i="1" a="1"/>
  <c r="AF127" i="1" a="1"/>
  <c r="AF167" i="1" a="1"/>
  <c r="AC133" i="1" a="1"/>
  <c r="AD156" i="1" a="1"/>
  <c r="AC204" i="1" a="1"/>
  <c r="AG228" i="1" a="1"/>
  <c r="AC107" i="1" a="1"/>
  <c r="AC199" i="1" a="1"/>
  <c r="AD167" i="1" a="1"/>
  <c r="AD153" i="1" a="1"/>
  <c r="AD135" i="1" a="1"/>
  <c r="AC62" i="1" a="1"/>
  <c r="AD144" i="1" a="1"/>
  <c r="AF71" i="1" a="1"/>
  <c r="AJ3" i="1" l="1"/>
  <c r="AI3" i="1"/>
  <c r="AI228" i="1"/>
  <c r="AI188" i="1"/>
  <c r="AI184" i="1"/>
  <c r="AI180" i="1"/>
  <c r="AI176" i="1"/>
  <c r="AI172" i="1"/>
  <c r="AI168" i="1"/>
  <c r="AI164" i="1"/>
  <c r="AI160" i="1"/>
  <c r="AI156" i="1"/>
  <c r="AI152" i="1"/>
  <c r="AI148" i="1"/>
  <c r="AI144" i="1"/>
  <c r="AI140" i="1"/>
  <c r="AI136" i="1"/>
  <c r="AI132" i="1"/>
  <c r="AI128" i="1"/>
  <c r="AI124" i="1"/>
  <c r="AI120" i="1"/>
  <c r="AI216" i="1"/>
  <c r="AI196" i="1"/>
  <c r="AJ207" i="1"/>
  <c r="AJ183" i="1"/>
  <c r="AJ167" i="1"/>
  <c r="AJ155" i="1"/>
  <c r="AJ131" i="1"/>
  <c r="AJ111" i="1"/>
  <c r="AJ107" i="1"/>
  <c r="AJ103" i="1"/>
  <c r="AJ99" i="1"/>
  <c r="AJ95" i="1"/>
  <c r="AJ91" i="1"/>
  <c r="AJ87" i="1"/>
  <c r="AJ83" i="1"/>
  <c r="AJ79" i="1"/>
  <c r="AJ75" i="1"/>
  <c r="AJ71" i="1"/>
  <c r="AJ67" i="1"/>
  <c r="AJ63" i="1"/>
  <c r="AJ59" i="1"/>
  <c r="AJ55" i="1"/>
  <c r="AJ51" i="1"/>
  <c r="AJ47" i="1"/>
  <c r="AJ43" i="1"/>
  <c r="AJ39" i="1"/>
  <c r="AJ35" i="1"/>
  <c r="AJ31" i="1"/>
  <c r="AJ27" i="1"/>
  <c r="AJ23" i="1"/>
  <c r="AJ19" i="1"/>
  <c r="AJ15" i="1"/>
  <c r="AJ11" i="1"/>
  <c r="AJ7" i="1"/>
  <c r="AJ223" i="1"/>
  <c r="AJ203" i="1"/>
  <c r="AJ179" i="1"/>
  <c r="AJ143" i="1"/>
  <c r="AI135" i="1"/>
  <c r="AI103" i="1"/>
  <c r="AI87" i="1"/>
  <c r="AI75" i="1"/>
  <c r="AI59" i="1"/>
  <c r="AI55" i="1"/>
  <c r="AI51" i="1"/>
  <c r="AI47" i="1"/>
  <c r="AI43" i="1"/>
  <c r="AI39" i="1"/>
  <c r="AI35" i="1"/>
  <c r="AI31" i="1"/>
  <c r="AI27" i="1"/>
  <c r="AI23" i="1"/>
  <c r="AI19" i="1"/>
  <c r="AI15" i="1"/>
  <c r="AI11" i="1"/>
  <c r="AI7" i="1"/>
  <c r="AJ135" i="1"/>
  <c r="AI227" i="1"/>
  <c r="AI207" i="1"/>
  <c r="AI195" i="1"/>
  <c r="AI179" i="1"/>
  <c r="AI139" i="1"/>
  <c r="AI95" i="1"/>
  <c r="AI71" i="1"/>
  <c r="AI67" i="1"/>
  <c r="AJ222" i="1"/>
  <c r="AJ214" i="1"/>
  <c r="AJ206" i="1"/>
  <c r="AJ198" i="1"/>
  <c r="AJ186" i="1"/>
  <c r="AJ178" i="1"/>
  <c r="AJ170" i="1"/>
  <c r="AJ166" i="1"/>
  <c r="AJ158" i="1"/>
  <c r="AJ154" i="1"/>
  <c r="AJ146" i="1"/>
  <c r="AJ142" i="1"/>
  <c r="AJ134" i="1"/>
  <c r="AJ126" i="1"/>
  <c r="AJ122" i="1"/>
  <c r="AJ118" i="1"/>
  <c r="AJ114" i="1"/>
  <c r="AJ110" i="1"/>
  <c r="AJ106" i="1"/>
  <c r="AJ98" i="1"/>
  <c r="AJ90" i="1"/>
  <c r="AJ78" i="1"/>
  <c r="AJ70" i="1"/>
  <c r="AJ66" i="1"/>
  <c r="AJ58" i="1"/>
  <c r="AJ50" i="1"/>
  <c r="AJ42" i="1"/>
  <c r="AJ38" i="1"/>
  <c r="AJ34" i="1"/>
  <c r="AJ30" i="1"/>
  <c r="AJ26" i="1"/>
  <c r="AJ22" i="1"/>
  <c r="AJ18" i="1"/>
  <c r="AJ14" i="1"/>
  <c r="AJ10" i="1"/>
  <c r="AJ6" i="1"/>
  <c r="AI204" i="1"/>
  <c r="AJ191" i="1"/>
  <c r="AJ127" i="1"/>
  <c r="AI215" i="1"/>
  <c r="AI199" i="1"/>
  <c r="AI163" i="1"/>
  <c r="AI151" i="1"/>
  <c r="AI131" i="1"/>
  <c r="AI119" i="1"/>
  <c r="AI99" i="1"/>
  <c r="AI91" i="1"/>
  <c r="AI79" i="1"/>
  <c r="AI63" i="1"/>
  <c r="AJ230" i="1"/>
  <c r="AJ226" i="1"/>
  <c r="AJ218" i="1"/>
  <c r="AJ210" i="1"/>
  <c r="AJ202" i="1"/>
  <c r="AJ194" i="1"/>
  <c r="AJ190" i="1"/>
  <c r="AJ182" i="1"/>
  <c r="AJ174" i="1"/>
  <c r="AJ162" i="1"/>
  <c r="AJ150" i="1"/>
  <c r="AJ138" i="1"/>
  <c r="AJ130" i="1"/>
  <c r="AJ102" i="1"/>
  <c r="AJ94" i="1"/>
  <c r="AJ86" i="1"/>
  <c r="AJ82" i="1"/>
  <c r="AJ74" i="1"/>
  <c r="AJ62" i="1"/>
  <c r="AJ54" i="1"/>
  <c r="AJ46" i="1"/>
  <c r="AI208" i="1"/>
  <c r="AJ199" i="1"/>
  <c r="AJ163" i="1"/>
  <c r="AJ119" i="1"/>
  <c r="AI187" i="1"/>
  <c r="AI159" i="1"/>
  <c r="AI155" i="1"/>
  <c r="AI127" i="1"/>
  <c r="AI83" i="1"/>
  <c r="AI226" i="1"/>
  <c r="AI214" i="1"/>
  <c r="AI206" i="1"/>
  <c r="AI202" i="1"/>
  <c r="AI198" i="1"/>
  <c r="AI174" i="1"/>
  <c r="AI166" i="1"/>
  <c r="AI162" i="1"/>
  <c r="AI158" i="1"/>
  <c r="AI150" i="1"/>
  <c r="AI142" i="1"/>
  <c r="AI138" i="1"/>
  <c r="AI134" i="1"/>
  <c r="AI130" i="1"/>
  <c r="AI126" i="1"/>
  <c r="AI122" i="1"/>
  <c r="AI118" i="1"/>
  <c r="AI114" i="1"/>
  <c r="AI110" i="1"/>
  <c r="AI106" i="1"/>
  <c r="AI102" i="1"/>
  <c r="AI98" i="1"/>
  <c r="AI86" i="1"/>
  <c r="AI82" i="1"/>
  <c r="AI74" i="1"/>
  <c r="AI66" i="1"/>
  <c r="AI62" i="1"/>
  <c r="AI54" i="1"/>
  <c r="AI50" i="1"/>
  <c r="AI46" i="1"/>
  <c r="AI42" i="1"/>
  <c r="AI38" i="1"/>
  <c r="AI34" i="1"/>
  <c r="AI30" i="1"/>
  <c r="AI26" i="1"/>
  <c r="AI22" i="1"/>
  <c r="AI18" i="1"/>
  <c r="AI14" i="1"/>
  <c r="AI10" i="1"/>
  <c r="AI6" i="1"/>
  <c r="AI212" i="1"/>
  <c r="AI192" i="1"/>
  <c r="AJ211" i="1"/>
  <c r="AJ159" i="1"/>
  <c r="AJ115" i="1"/>
  <c r="AI171" i="1"/>
  <c r="AI107" i="1"/>
  <c r="AI230" i="1"/>
  <c r="AI222" i="1"/>
  <c r="AI218" i="1"/>
  <c r="AI210" i="1"/>
  <c r="AI194" i="1"/>
  <c r="AI190" i="1"/>
  <c r="AI186" i="1"/>
  <c r="AI182" i="1"/>
  <c r="AI178" i="1"/>
  <c r="AI170" i="1"/>
  <c r="AI154" i="1"/>
  <c r="AI146" i="1"/>
  <c r="AI94" i="1"/>
  <c r="AI90" i="1"/>
  <c r="AI78" i="1"/>
  <c r="AI70" i="1"/>
  <c r="AI58" i="1"/>
  <c r="AJ225" i="1"/>
  <c r="AJ193" i="1"/>
  <c r="AJ73" i="1"/>
  <c r="AJ69" i="1"/>
  <c r="AJ65" i="1"/>
  <c r="AJ57" i="1"/>
  <c r="AJ53" i="1"/>
  <c r="AJ49" i="1"/>
  <c r="AJ45" i="1"/>
  <c r="AJ41" i="1"/>
  <c r="AJ37" i="1"/>
  <c r="AJ33" i="1"/>
  <c r="AJ29" i="1"/>
  <c r="AJ25" i="1"/>
  <c r="AJ21" i="1"/>
  <c r="AJ17" i="1"/>
  <c r="AJ13" i="1"/>
  <c r="AJ9" i="1"/>
  <c r="AJ5" i="1"/>
  <c r="AI224" i="1"/>
  <c r="AJ187" i="1"/>
  <c r="AJ175" i="1"/>
  <c r="AJ139" i="1"/>
  <c r="AI147" i="1"/>
  <c r="AI111" i="1"/>
  <c r="AJ221" i="1"/>
  <c r="AJ213" i="1"/>
  <c r="AJ197" i="1"/>
  <c r="AJ185" i="1"/>
  <c r="AJ181" i="1"/>
  <c r="AJ177" i="1"/>
  <c r="AJ173" i="1"/>
  <c r="AJ169" i="1"/>
  <c r="AJ165" i="1"/>
  <c r="AJ161" i="1"/>
  <c r="AJ157" i="1"/>
  <c r="AJ153" i="1"/>
  <c r="AJ149" i="1"/>
  <c r="AJ145" i="1"/>
  <c r="AJ141" i="1"/>
  <c r="AJ137" i="1"/>
  <c r="AJ133" i="1"/>
  <c r="AJ129" i="1"/>
  <c r="AJ125" i="1"/>
  <c r="AJ121" i="1"/>
  <c r="AJ117" i="1"/>
  <c r="AJ113" i="1"/>
  <c r="AJ109" i="1"/>
  <c r="AJ105" i="1"/>
  <c r="AJ101" i="1"/>
  <c r="AJ97" i="1"/>
  <c r="AJ93" i="1"/>
  <c r="AJ89" i="1"/>
  <c r="AJ85" i="1"/>
  <c r="AJ81" i="1"/>
  <c r="AJ77" i="1"/>
  <c r="AJ61" i="1"/>
  <c r="AI220" i="1"/>
  <c r="AJ215" i="1"/>
  <c r="AJ151" i="1"/>
  <c r="AI211" i="1"/>
  <c r="AI175" i="1"/>
  <c r="AI115" i="1"/>
  <c r="AJ217" i="1"/>
  <c r="AJ205" i="1"/>
  <c r="AJ201" i="1"/>
  <c r="AI229" i="1"/>
  <c r="AI221" i="1"/>
  <c r="AI185" i="1"/>
  <c r="AI181" i="1"/>
  <c r="AI177" i="1"/>
  <c r="AI173" i="1"/>
  <c r="AI169" i="1"/>
  <c r="AI165" i="1"/>
  <c r="AI161" i="1"/>
  <c r="AI157" i="1"/>
  <c r="AI153" i="1"/>
  <c r="AI149" i="1"/>
  <c r="AI145" i="1"/>
  <c r="AI141" i="1"/>
  <c r="AI137" i="1"/>
  <c r="AI129" i="1"/>
  <c r="AI121" i="1"/>
  <c r="AI117" i="1"/>
  <c r="AI109" i="1"/>
  <c r="AI105" i="1"/>
  <c r="AI101" i="1"/>
  <c r="AI93" i="1"/>
  <c r="AI89" i="1"/>
  <c r="AI85" i="1"/>
  <c r="AI81" i="1"/>
  <c r="AI77" i="1"/>
  <c r="AI73" i="1"/>
  <c r="AI69" i="1"/>
  <c r="AI65" i="1"/>
  <c r="AI61" i="1"/>
  <c r="AI57" i="1"/>
  <c r="AI53" i="1"/>
  <c r="AI49" i="1"/>
  <c r="AI45" i="1"/>
  <c r="AI41" i="1"/>
  <c r="AI37" i="1"/>
  <c r="AI33" i="1"/>
  <c r="AI29" i="1"/>
  <c r="AI25" i="1"/>
  <c r="AI21" i="1"/>
  <c r="AI17" i="1"/>
  <c r="AI13" i="1"/>
  <c r="AI9" i="1"/>
  <c r="AI5" i="1"/>
  <c r="AJ147" i="1"/>
  <c r="AI223" i="1"/>
  <c r="AI203" i="1"/>
  <c r="AI191" i="1"/>
  <c r="AI167" i="1"/>
  <c r="AI143" i="1"/>
  <c r="AJ229" i="1"/>
  <c r="AJ209" i="1"/>
  <c r="AJ189" i="1"/>
  <c r="AI225" i="1"/>
  <c r="AI217" i="1"/>
  <c r="AI213" i="1"/>
  <c r="AI209" i="1"/>
  <c r="AI205" i="1"/>
  <c r="AI201" i="1"/>
  <c r="AI197" i="1"/>
  <c r="AI193" i="1"/>
  <c r="AI189" i="1"/>
  <c r="AI133" i="1"/>
  <c r="AI125" i="1"/>
  <c r="AI113" i="1"/>
  <c r="AI97" i="1"/>
  <c r="AJ144" i="1"/>
  <c r="AJ132" i="1"/>
  <c r="AJ124" i="1"/>
  <c r="AJ120" i="1"/>
  <c r="AJ112" i="1"/>
  <c r="AJ108" i="1"/>
  <c r="AJ104" i="1"/>
  <c r="AJ100" i="1"/>
  <c r="AJ96" i="1"/>
  <c r="AJ92" i="1"/>
  <c r="AJ88" i="1"/>
  <c r="AJ84" i="1"/>
  <c r="AJ80" i="1"/>
  <c r="AJ76" i="1"/>
  <c r="AJ72" i="1"/>
  <c r="AJ68" i="1"/>
  <c r="AJ64" i="1"/>
  <c r="AJ60" i="1"/>
  <c r="AJ56" i="1"/>
  <c r="AJ52" i="1"/>
  <c r="AJ48" i="1"/>
  <c r="AJ44" i="1"/>
  <c r="AJ40" i="1"/>
  <c r="AJ36" i="1"/>
  <c r="AJ32" i="1"/>
  <c r="AJ28" i="1"/>
  <c r="AJ24" i="1"/>
  <c r="AJ20" i="1"/>
  <c r="AJ16" i="1"/>
  <c r="AJ12" i="1"/>
  <c r="AJ8" i="1"/>
  <c r="AJ4" i="1"/>
  <c r="AI200" i="1"/>
  <c r="AJ227" i="1"/>
  <c r="AJ219" i="1"/>
  <c r="AJ195" i="1"/>
  <c r="AJ171" i="1"/>
  <c r="AJ123" i="1"/>
  <c r="AI219" i="1"/>
  <c r="AI183" i="1"/>
  <c r="AI123" i="1"/>
  <c r="AJ228" i="1"/>
  <c r="AJ224" i="1"/>
  <c r="AJ220" i="1"/>
  <c r="AJ216" i="1"/>
  <c r="AJ212" i="1"/>
  <c r="AJ208" i="1"/>
  <c r="AJ204" i="1"/>
  <c r="AJ200" i="1"/>
  <c r="AJ196" i="1"/>
  <c r="AJ192" i="1"/>
  <c r="AJ188" i="1"/>
  <c r="AJ184" i="1"/>
  <c r="AJ180" i="1"/>
  <c r="AJ176" i="1"/>
  <c r="AJ172" i="1"/>
  <c r="AJ168" i="1"/>
  <c r="AJ164" i="1"/>
  <c r="AJ160" i="1"/>
  <c r="AJ156" i="1"/>
  <c r="AJ152" i="1"/>
  <c r="AJ148" i="1"/>
  <c r="AJ140" i="1"/>
  <c r="AJ136" i="1"/>
  <c r="AJ128" i="1"/>
  <c r="AJ116" i="1"/>
  <c r="AI116" i="1"/>
  <c r="AI112" i="1"/>
  <c r="AI108" i="1"/>
  <c r="AI104" i="1"/>
  <c r="AI100" i="1"/>
  <c r="AI96" i="1"/>
  <c r="AI92" i="1"/>
  <c r="AI88" i="1"/>
  <c r="AI84" i="1"/>
  <c r="AI80" i="1"/>
  <c r="AI76" i="1"/>
  <c r="AI72" i="1"/>
  <c r="AI68" i="1"/>
  <c r="AI64" i="1"/>
  <c r="AI60" i="1"/>
  <c r="AI56" i="1"/>
  <c r="AI52" i="1"/>
  <c r="AI48" i="1"/>
  <c r="AI44" i="1"/>
  <c r="AI40" i="1"/>
  <c r="AI36" i="1"/>
  <c r="AI32" i="1"/>
  <c r="AI28" i="1"/>
  <c r="AI24" i="1"/>
  <c r="AI20" i="1"/>
  <c r="AI16" i="1"/>
  <c r="AI12" i="1"/>
  <c r="AI8" i="1"/>
  <c r="AI4" i="1"/>
  <c r="AG230" i="1"/>
  <c r="AF230" i="1"/>
  <c r="AG191" i="1"/>
  <c r="AG171" i="1"/>
  <c r="AG183" i="1"/>
  <c r="AG143" i="1"/>
  <c r="AG227" i="1"/>
  <c r="AG163" i="1"/>
  <c r="AG203" i="1"/>
  <c r="AG159" i="1"/>
  <c r="AG199" i="1"/>
  <c r="AG175" i="1"/>
  <c r="AG211" i="1"/>
  <c r="AG139" i="1"/>
  <c r="AG223" i="1"/>
  <c r="AG151" i="1"/>
  <c r="AG147" i="1"/>
  <c r="AG167" i="1"/>
  <c r="AG187" i="1"/>
  <c r="AG207" i="1"/>
  <c r="AG135" i="1"/>
  <c r="AG179" i="1"/>
  <c r="AG219" i="1"/>
  <c r="AG155" i="1"/>
  <c r="AG131" i="1"/>
  <c r="AG195" i="1"/>
  <c r="AG127" i="1"/>
  <c r="AG215" i="1"/>
  <c r="AG123" i="1"/>
  <c r="AG119" i="1"/>
  <c r="AG115" i="1"/>
  <c r="AG111" i="1"/>
  <c r="AG107" i="1"/>
  <c r="AG103" i="1"/>
  <c r="AG99" i="1"/>
  <c r="AG95" i="1"/>
  <c r="AG91" i="1"/>
  <c r="AG87" i="1"/>
  <c r="AG83" i="1"/>
  <c r="AG79" i="1"/>
  <c r="AG75" i="1"/>
  <c r="AG71" i="1"/>
  <c r="AG67" i="1"/>
  <c r="AG63" i="1"/>
  <c r="AG59" i="1"/>
  <c r="AG55" i="1"/>
  <c r="AG51" i="1"/>
  <c r="AG47" i="1"/>
  <c r="AG43" i="1"/>
  <c r="AG39" i="1"/>
  <c r="AG35" i="1"/>
  <c r="AG31" i="1"/>
  <c r="AG27" i="1"/>
  <c r="AG23" i="1"/>
  <c r="AG19" i="1"/>
  <c r="AG15" i="1"/>
  <c r="AG11" i="1"/>
  <c r="AG7" i="1"/>
  <c r="AF167" i="1"/>
  <c r="AF155" i="1"/>
  <c r="AF147" i="1"/>
  <c r="AF115" i="1"/>
  <c r="AF107" i="1"/>
  <c r="AF103" i="1"/>
  <c r="AF99" i="1"/>
  <c r="AF95" i="1"/>
  <c r="AF91" i="1"/>
  <c r="AF87" i="1"/>
  <c r="AF79" i="1"/>
  <c r="AF71" i="1"/>
  <c r="AF67" i="1"/>
  <c r="AF59" i="1"/>
  <c r="AF55" i="1"/>
  <c r="AF51" i="1"/>
  <c r="AF47" i="1"/>
  <c r="AF43" i="1"/>
  <c r="AF39" i="1"/>
  <c r="AF35" i="1"/>
  <c r="AF27" i="1"/>
  <c r="AF23" i="1"/>
  <c r="AF15" i="1"/>
  <c r="AF11" i="1"/>
  <c r="AF7" i="1"/>
  <c r="AF227" i="1"/>
  <c r="AF187" i="1"/>
  <c r="AF159" i="1"/>
  <c r="AF151" i="1"/>
  <c r="AF143" i="1"/>
  <c r="AF139" i="1"/>
  <c r="AF135" i="1"/>
  <c r="AF131" i="1"/>
  <c r="AF127" i="1"/>
  <c r="AF123" i="1"/>
  <c r="AF119" i="1"/>
  <c r="AF111" i="1"/>
  <c r="AF83" i="1"/>
  <c r="AF75" i="1"/>
  <c r="AF63" i="1"/>
  <c r="AF31" i="1"/>
  <c r="AF19" i="1"/>
  <c r="AG154" i="1"/>
  <c r="AG142" i="1"/>
  <c r="AG130" i="1"/>
  <c r="AG62" i="1"/>
  <c r="AG58" i="1"/>
  <c r="AG50" i="1"/>
  <c r="AG46" i="1"/>
  <c r="AG42" i="1"/>
  <c r="AG38" i="1"/>
  <c r="AG34" i="1"/>
  <c r="AG30" i="1"/>
  <c r="AG26" i="1"/>
  <c r="AG22" i="1"/>
  <c r="AG18" i="1"/>
  <c r="AG14" i="1"/>
  <c r="AG10" i="1"/>
  <c r="AG6" i="1"/>
  <c r="AF207" i="1"/>
  <c r="AF199" i="1"/>
  <c r="AF175" i="1"/>
  <c r="AG226" i="1"/>
  <c r="AG210" i="1"/>
  <c r="AG186" i="1"/>
  <c r="AG178" i="1"/>
  <c r="AG174" i="1"/>
  <c r="AG162" i="1"/>
  <c r="AG158" i="1"/>
  <c r="AG150" i="1"/>
  <c r="AG146" i="1"/>
  <c r="AG138" i="1"/>
  <c r="AG134" i="1"/>
  <c r="AG126" i="1"/>
  <c r="AG122" i="1"/>
  <c r="AG118" i="1"/>
  <c r="AG114" i="1"/>
  <c r="AG110" i="1"/>
  <c r="AG106" i="1"/>
  <c r="AG102" i="1"/>
  <c r="AG98" i="1"/>
  <c r="AG94" i="1"/>
  <c r="AG90" i="1"/>
  <c r="AG86" i="1"/>
  <c r="AG82" i="1"/>
  <c r="AG78" i="1"/>
  <c r="AG74" i="1"/>
  <c r="AG70" i="1"/>
  <c r="AG66" i="1"/>
  <c r="AG54" i="1"/>
  <c r="AF191" i="1"/>
  <c r="AG218" i="1"/>
  <c r="AG202" i="1"/>
  <c r="AG166" i="1"/>
  <c r="AF226" i="1"/>
  <c r="AF222" i="1"/>
  <c r="AF218" i="1"/>
  <c r="AF214" i="1"/>
  <c r="AF210" i="1"/>
  <c r="AF206" i="1"/>
  <c r="AF202" i="1"/>
  <c r="AF198" i="1"/>
  <c r="AF194" i="1"/>
  <c r="AF190" i="1"/>
  <c r="AF186" i="1"/>
  <c r="AF182" i="1"/>
  <c r="AF174" i="1"/>
  <c r="AF166" i="1"/>
  <c r="AF158" i="1"/>
  <c r="AF154" i="1"/>
  <c r="AF146" i="1"/>
  <c r="AF142" i="1"/>
  <c r="AF134" i="1"/>
  <c r="AF126" i="1"/>
  <c r="AF122" i="1"/>
  <c r="AF118" i="1"/>
  <c r="AF114" i="1"/>
  <c r="AF102" i="1"/>
  <c r="AF98" i="1"/>
  <c r="AF94" i="1"/>
  <c r="AF90" i="1"/>
  <c r="AF82" i="1"/>
  <c r="AF70" i="1"/>
  <c r="AF62" i="1"/>
  <c r="AF58" i="1"/>
  <c r="AF54" i="1"/>
  <c r="AF50" i="1"/>
  <c r="AF46" i="1"/>
  <c r="AF42" i="1"/>
  <c r="AF38" i="1"/>
  <c r="AF34" i="1"/>
  <c r="AF30" i="1"/>
  <c r="AF26" i="1"/>
  <c r="AF22" i="1"/>
  <c r="AF18" i="1"/>
  <c r="AF14" i="1"/>
  <c r="AF10" i="1"/>
  <c r="AF6" i="1"/>
  <c r="AF178" i="1"/>
  <c r="AF170" i="1"/>
  <c r="AF162" i="1"/>
  <c r="AF150" i="1"/>
  <c r="AF138" i="1"/>
  <c r="AF130" i="1"/>
  <c r="AF110" i="1"/>
  <c r="AF106" i="1"/>
  <c r="AF86" i="1"/>
  <c r="AF78" i="1"/>
  <c r="AF74" i="1"/>
  <c r="AF66" i="1"/>
  <c r="AF219" i="1"/>
  <c r="AF215" i="1"/>
  <c r="AF203" i="1"/>
  <c r="AF183" i="1"/>
  <c r="AF171" i="1"/>
  <c r="AG222" i="1"/>
  <c r="AG198" i="1"/>
  <c r="AG217" i="1"/>
  <c r="AG213" i="1"/>
  <c r="AG205" i="1"/>
  <c r="AG201" i="1"/>
  <c r="AG197" i="1"/>
  <c r="AG193" i="1"/>
  <c r="AG189" i="1"/>
  <c r="AG185" i="1"/>
  <c r="AG181" i="1"/>
  <c r="AG177" i="1"/>
  <c r="AG173" i="1"/>
  <c r="AG169" i="1"/>
  <c r="AG165" i="1"/>
  <c r="AG161" i="1"/>
  <c r="AG157" i="1"/>
  <c r="AG153" i="1"/>
  <c r="AG149" i="1"/>
  <c r="AG145" i="1"/>
  <c r="AG141" i="1"/>
  <c r="AG137" i="1"/>
  <c r="AG133" i="1"/>
  <c r="AG129" i="1"/>
  <c r="AG125" i="1"/>
  <c r="AG121" i="1"/>
  <c r="AG117" i="1"/>
  <c r="AG113" i="1"/>
  <c r="AG109" i="1"/>
  <c r="AG105" i="1"/>
  <c r="AG101" i="1"/>
  <c r="AG97" i="1"/>
  <c r="AG93" i="1"/>
  <c r="AG89" i="1"/>
  <c r="AG81" i="1"/>
  <c r="AG73" i="1"/>
  <c r="AG69" i="1"/>
  <c r="AG65" i="1"/>
  <c r="AG61" i="1"/>
  <c r="AG57" i="1"/>
  <c r="AG53" i="1"/>
  <c r="AG49" i="1"/>
  <c r="AG45" i="1"/>
  <c r="AG41" i="1"/>
  <c r="AG37" i="1"/>
  <c r="AG33" i="1"/>
  <c r="AG29" i="1"/>
  <c r="AG25" i="1"/>
  <c r="AG21" i="1"/>
  <c r="AG17" i="1"/>
  <c r="AG13" i="1"/>
  <c r="AG9" i="1"/>
  <c r="AG5" i="1"/>
  <c r="AF223" i="1"/>
  <c r="AF211" i="1"/>
  <c r="AF195" i="1"/>
  <c r="AF179" i="1"/>
  <c r="AF163" i="1"/>
  <c r="AG214" i="1"/>
  <c r="AG206" i="1"/>
  <c r="AG194" i="1"/>
  <c r="AG190" i="1"/>
  <c r="AG182" i="1"/>
  <c r="AG170" i="1"/>
  <c r="AG229" i="1"/>
  <c r="AG225" i="1"/>
  <c r="AG221" i="1"/>
  <c r="AG209" i="1"/>
  <c r="AG85" i="1"/>
  <c r="AG77" i="1"/>
  <c r="AF153" i="1"/>
  <c r="AF145" i="1"/>
  <c r="AF101" i="1"/>
  <c r="AF93" i="1"/>
  <c r="AF89" i="1"/>
  <c r="AF85" i="1"/>
  <c r="AF81" i="1"/>
  <c r="AF77" i="1"/>
  <c r="AF73" i="1"/>
  <c r="AF69" i="1"/>
  <c r="AF65" i="1"/>
  <c r="AF61" i="1"/>
  <c r="AF57" i="1"/>
  <c r="AF53" i="1"/>
  <c r="AF49" i="1"/>
  <c r="AF45" i="1"/>
  <c r="AF41" i="1"/>
  <c r="AF37" i="1"/>
  <c r="AF33" i="1"/>
  <c r="AF29" i="1"/>
  <c r="AF25" i="1"/>
  <c r="AF21" i="1"/>
  <c r="AF17" i="1"/>
  <c r="AF13" i="1"/>
  <c r="AF9" i="1"/>
  <c r="AF5" i="1"/>
  <c r="AF229" i="1"/>
  <c r="AF221" i="1"/>
  <c r="AF209" i="1"/>
  <c r="AF193" i="1"/>
  <c r="AF141" i="1"/>
  <c r="AF137" i="1"/>
  <c r="AF133" i="1"/>
  <c r="AF129" i="1"/>
  <c r="AF125" i="1"/>
  <c r="AF121" i="1"/>
  <c r="AF117" i="1"/>
  <c r="AF113" i="1"/>
  <c r="AF109" i="1"/>
  <c r="AF105" i="1"/>
  <c r="AF97" i="1"/>
  <c r="AF225" i="1"/>
  <c r="AF217" i="1"/>
  <c r="AF213" i="1"/>
  <c r="AF201" i="1"/>
  <c r="AF189" i="1"/>
  <c r="AF177" i="1"/>
  <c r="AF173" i="1"/>
  <c r="AF157" i="1"/>
  <c r="AG224" i="1"/>
  <c r="AG216" i="1"/>
  <c r="AG204" i="1"/>
  <c r="AG196" i="1"/>
  <c r="AG180" i="1"/>
  <c r="AG176" i="1"/>
  <c r="AG172" i="1"/>
  <c r="AG164" i="1"/>
  <c r="AG152" i="1"/>
  <c r="AG144" i="1"/>
  <c r="AG140" i="1"/>
  <c r="AG120" i="1"/>
  <c r="AG116" i="1"/>
  <c r="AG108" i="1"/>
  <c r="AG104" i="1"/>
  <c r="AG100" i="1"/>
  <c r="AG96" i="1"/>
  <c r="AG92" i="1"/>
  <c r="AG88" i="1"/>
  <c r="AG84" i="1"/>
  <c r="AG80" i="1"/>
  <c r="AG76" i="1"/>
  <c r="AG72" i="1"/>
  <c r="AG68" i="1"/>
  <c r="AG64" i="1"/>
  <c r="AG60" i="1"/>
  <c r="AG56" i="1"/>
  <c r="AG52" i="1"/>
  <c r="AG48" i="1"/>
  <c r="AG44" i="1"/>
  <c r="AG40" i="1"/>
  <c r="AG36" i="1"/>
  <c r="AG32" i="1"/>
  <c r="AG28" i="1"/>
  <c r="AG24" i="1"/>
  <c r="AG20" i="1"/>
  <c r="AG16" i="1"/>
  <c r="AG12" i="1"/>
  <c r="AG8" i="1"/>
  <c r="AG4" i="1"/>
  <c r="AF205" i="1"/>
  <c r="AF197" i="1"/>
  <c r="AF185" i="1"/>
  <c r="AF181" i="1"/>
  <c r="AF169" i="1"/>
  <c r="AF165" i="1"/>
  <c r="AF161" i="1"/>
  <c r="AF149" i="1"/>
  <c r="AG228" i="1"/>
  <c r="AG220" i="1"/>
  <c r="AG212" i="1"/>
  <c r="AG208" i="1"/>
  <c r="AG200" i="1"/>
  <c r="AG192" i="1"/>
  <c r="AG188" i="1"/>
  <c r="AG184" i="1"/>
  <c r="AG168" i="1"/>
  <c r="AG160" i="1"/>
  <c r="AG156" i="1"/>
  <c r="AG148" i="1"/>
  <c r="AG136" i="1"/>
  <c r="AG132" i="1"/>
  <c r="AG128" i="1"/>
  <c r="AG124" i="1"/>
  <c r="AG112" i="1"/>
  <c r="AF228" i="1"/>
  <c r="AF224" i="1"/>
  <c r="AF220" i="1"/>
  <c r="AF216" i="1"/>
  <c r="AF212" i="1"/>
  <c r="AF208" i="1"/>
  <c r="AF204" i="1"/>
  <c r="AF200" i="1"/>
  <c r="AF196" i="1"/>
  <c r="AF192" i="1"/>
  <c r="AF188" i="1"/>
  <c r="AF184" i="1"/>
  <c r="AF180" i="1"/>
  <c r="AF176" i="1"/>
  <c r="AF172" i="1"/>
  <c r="AF168" i="1"/>
  <c r="AF164" i="1"/>
  <c r="AF160" i="1"/>
  <c r="AF156" i="1"/>
  <c r="AF152" i="1"/>
  <c r="AF148" i="1"/>
  <c r="AF144" i="1"/>
  <c r="AF140" i="1"/>
  <c r="AF136" i="1"/>
  <c r="AF132" i="1"/>
  <c r="AF128" i="1"/>
  <c r="AF124" i="1"/>
  <c r="AF120" i="1"/>
  <c r="AF116" i="1"/>
  <c r="AF112" i="1"/>
  <c r="AF108" i="1"/>
  <c r="AF104" i="1"/>
  <c r="AF100" i="1"/>
  <c r="AF96" i="1"/>
  <c r="AF92" i="1"/>
  <c r="AF88" i="1"/>
  <c r="AF84" i="1"/>
  <c r="AF80" i="1"/>
  <c r="AF76" i="1"/>
  <c r="AF72" i="1"/>
  <c r="AF68" i="1"/>
  <c r="AF64" i="1"/>
  <c r="AF60" i="1"/>
  <c r="AF56" i="1"/>
  <c r="AF52" i="1"/>
  <c r="AF48" i="1"/>
  <c r="AF44" i="1"/>
  <c r="AF40" i="1"/>
  <c r="AF36" i="1"/>
  <c r="AF32" i="1"/>
  <c r="AF28" i="1"/>
  <c r="AF24" i="1"/>
  <c r="AF20" i="1"/>
  <c r="AF16" i="1"/>
  <c r="AF12" i="1"/>
  <c r="AF8" i="1"/>
  <c r="AF4" i="1"/>
  <c r="AD211" i="1"/>
  <c r="AD135" i="1"/>
  <c r="AD131" i="1"/>
  <c r="AD127" i="1"/>
  <c r="AD123" i="1"/>
  <c r="AD119" i="1"/>
  <c r="AD115" i="1"/>
  <c r="AD111" i="1"/>
  <c r="AD107" i="1"/>
  <c r="AD103" i="1"/>
  <c r="AD99" i="1"/>
  <c r="AD95" i="1"/>
  <c r="AD91" i="1"/>
  <c r="AD87" i="1"/>
  <c r="AD83" i="1"/>
  <c r="AD79" i="1"/>
  <c r="AD75" i="1"/>
  <c r="AD71" i="1"/>
  <c r="AD67" i="1"/>
  <c r="AD63" i="1"/>
  <c r="AD59" i="1"/>
  <c r="AD55" i="1"/>
  <c r="AD51" i="1"/>
  <c r="AD47" i="1"/>
  <c r="AD43" i="1"/>
  <c r="AD39" i="1"/>
  <c r="AD35" i="1"/>
  <c r="AD31" i="1"/>
  <c r="AD27" i="1"/>
  <c r="AD23" i="1"/>
  <c r="AD19" i="1"/>
  <c r="AD15" i="1"/>
  <c r="AD11" i="1"/>
  <c r="AD7" i="1"/>
  <c r="AC83" i="1"/>
  <c r="AC79" i="1"/>
  <c r="AC75" i="1"/>
  <c r="AC71" i="1"/>
  <c r="AC67" i="1"/>
  <c r="AC63" i="1"/>
  <c r="AC59" i="1"/>
  <c r="AC55" i="1"/>
  <c r="AC51" i="1"/>
  <c r="AC47" i="1"/>
  <c r="AC43" i="1"/>
  <c r="AC39" i="1"/>
  <c r="AC35" i="1"/>
  <c r="AC31" i="1"/>
  <c r="AC27" i="1"/>
  <c r="AC23" i="1"/>
  <c r="AC19" i="1"/>
  <c r="AC11" i="1"/>
  <c r="AC7" i="1"/>
  <c r="AD219" i="1"/>
  <c r="AD207" i="1"/>
  <c r="AD199" i="1"/>
  <c r="AD187" i="1"/>
  <c r="AD179" i="1"/>
  <c r="AD159" i="1"/>
  <c r="AC227" i="1"/>
  <c r="AC199" i="1"/>
  <c r="AC167" i="1"/>
  <c r="AC143" i="1"/>
  <c r="AC123" i="1"/>
  <c r="AC107" i="1"/>
  <c r="AC95" i="1"/>
  <c r="AC15" i="1"/>
  <c r="AD215" i="1"/>
  <c r="AD203" i="1"/>
  <c r="AD191" i="1"/>
  <c r="AD183" i="1"/>
  <c r="AD175" i="1"/>
  <c r="AD171" i="1"/>
  <c r="AD151" i="1"/>
  <c r="AC215" i="1"/>
  <c r="AC187" i="1"/>
  <c r="AC179" i="1"/>
  <c r="AC147" i="1"/>
  <c r="AC135" i="1"/>
  <c r="AC131" i="1"/>
  <c r="AC127" i="1"/>
  <c r="AC119" i="1"/>
  <c r="AC111" i="1"/>
  <c r="AC103" i="1"/>
  <c r="AC99" i="1"/>
  <c r="AC91" i="1"/>
  <c r="AC87" i="1"/>
  <c r="AD230" i="1"/>
  <c r="AD226" i="1"/>
  <c r="AD214" i="1"/>
  <c r="AD178" i="1"/>
  <c r="AD170" i="1"/>
  <c r="AD166" i="1"/>
  <c r="AD158" i="1"/>
  <c r="AD150" i="1"/>
  <c r="AD138" i="1"/>
  <c r="AD130" i="1"/>
  <c r="AD118" i="1"/>
  <c r="AD110" i="1"/>
  <c r="AD90" i="1"/>
  <c r="AD82" i="1"/>
  <c r="AD78" i="1"/>
  <c r="AD74" i="1"/>
  <c r="AD70" i="1"/>
  <c r="AD66" i="1"/>
  <c r="AD58" i="1"/>
  <c r="AD54" i="1"/>
  <c r="AD50" i="1"/>
  <c r="AD46" i="1"/>
  <c r="AD42" i="1"/>
  <c r="AD38" i="1"/>
  <c r="AD34" i="1"/>
  <c r="AD30" i="1"/>
  <c r="AD26" i="1"/>
  <c r="AD22" i="1"/>
  <c r="AD18" i="1"/>
  <c r="AD14" i="1"/>
  <c r="AD10" i="1"/>
  <c r="AD6" i="1"/>
  <c r="AD147" i="1"/>
  <c r="AC223" i="1"/>
  <c r="AC219" i="1"/>
  <c r="AC203" i="1"/>
  <c r="AC191" i="1"/>
  <c r="AC175" i="1"/>
  <c r="AC159" i="1"/>
  <c r="AC151" i="1"/>
  <c r="AC139" i="1"/>
  <c r="AC115" i="1"/>
  <c r="AD222" i="1"/>
  <c r="AD218" i="1"/>
  <c r="AD210" i="1"/>
  <c r="AD206" i="1"/>
  <c r="AD202" i="1"/>
  <c r="AD198" i="1"/>
  <c r="AD194" i="1"/>
  <c r="AD190" i="1"/>
  <c r="AD186" i="1"/>
  <c r="AD182" i="1"/>
  <c r="AD174" i="1"/>
  <c r="AD162" i="1"/>
  <c r="AD154" i="1"/>
  <c r="AD146" i="1"/>
  <c r="AD142" i="1"/>
  <c r="AD134" i="1"/>
  <c r="AD126" i="1"/>
  <c r="AD122" i="1"/>
  <c r="AD114" i="1"/>
  <c r="AD106" i="1"/>
  <c r="AD102" i="1"/>
  <c r="AD98" i="1"/>
  <c r="AD94" i="1"/>
  <c r="AD86" i="1"/>
  <c r="AD62" i="1"/>
  <c r="AD223" i="1"/>
  <c r="AD195" i="1"/>
  <c r="AD163" i="1"/>
  <c r="AD143" i="1"/>
  <c r="AC211" i="1"/>
  <c r="AC163" i="1"/>
  <c r="AC222" i="1"/>
  <c r="AC206" i="1"/>
  <c r="AC190" i="1"/>
  <c r="AC178" i="1"/>
  <c r="AC166" i="1"/>
  <c r="AC158" i="1"/>
  <c r="AC154" i="1"/>
  <c r="AC146" i="1"/>
  <c r="AC142" i="1"/>
  <c r="AC134" i="1"/>
  <c r="AC130" i="1"/>
  <c r="AC126" i="1"/>
  <c r="AC122" i="1"/>
  <c r="AC118" i="1"/>
  <c r="AC114" i="1"/>
  <c r="AC110" i="1"/>
  <c r="AC98" i="1"/>
  <c r="AC58" i="1"/>
  <c r="AC50" i="1"/>
  <c r="AC46" i="1"/>
  <c r="AC42" i="1"/>
  <c r="AC34" i="1"/>
  <c r="AC30" i="1"/>
  <c r="AC26" i="1"/>
  <c r="AC22" i="1"/>
  <c r="AC18" i="1"/>
  <c r="AC14" i="1"/>
  <c r="AC10" i="1"/>
  <c r="AC6" i="1"/>
  <c r="AD167" i="1"/>
  <c r="AD155" i="1"/>
  <c r="AD139" i="1"/>
  <c r="AC207" i="1"/>
  <c r="AC195" i="1"/>
  <c r="AC183" i="1"/>
  <c r="AC171" i="1"/>
  <c r="AC155" i="1"/>
  <c r="AC230" i="1"/>
  <c r="AC226" i="1"/>
  <c r="AC218" i="1"/>
  <c r="AC214" i="1"/>
  <c r="AC210" i="1"/>
  <c r="AC202" i="1"/>
  <c r="AC198" i="1"/>
  <c r="AC194" i="1"/>
  <c r="AC186" i="1"/>
  <c r="AC182" i="1"/>
  <c r="AC174" i="1"/>
  <c r="AC170" i="1"/>
  <c r="AC162" i="1"/>
  <c r="AC150" i="1"/>
  <c r="AC138" i="1"/>
  <c r="AC106" i="1"/>
  <c r="AC102" i="1"/>
  <c r="AC94" i="1"/>
  <c r="AC90" i="1"/>
  <c r="AC86" i="1"/>
  <c r="AC82" i="1"/>
  <c r="AC78" i="1"/>
  <c r="AC74" i="1"/>
  <c r="AC70" i="1"/>
  <c r="AC66" i="1"/>
  <c r="AC62" i="1"/>
  <c r="AC54" i="1"/>
  <c r="AC38" i="1"/>
  <c r="AD141" i="1"/>
  <c r="AD137" i="1"/>
  <c r="AD133" i="1"/>
  <c r="AD117" i="1"/>
  <c r="AD113" i="1"/>
  <c r="AD109" i="1"/>
  <c r="AD105" i="1"/>
  <c r="AD97" i="1"/>
  <c r="AD93" i="1"/>
  <c r="AD89" i="1"/>
  <c r="AD85" i="1"/>
  <c r="AD81" i="1"/>
  <c r="AD77" i="1"/>
  <c r="AD73" i="1"/>
  <c r="AD69" i="1"/>
  <c r="AD65" i="1"/>
  <c r="AD61" i="1"/>
  <c r="AD57" i="1"/>
  <c r="AD53" i="1"/>
  <c r="AD49" i="1"/>
  <c r="AD45" i="1"/>
  <c r="AD41" i="1"/>
  <c r="AD37" i="1"/>
  <c r="AD33" i="1"/>
  <c r="AD29" i="1"/>
  <c r="AD25" i="1"/>
  <c r="AD21" i="1"/>
  <c r="AD17" i="1"/>
  <c r="AD13" i="1"/>
  <c r="AD9" i="1"/>
  <c r="AD5" i="1"/>
  <c r="AD129" i="1"/>
  <c r="AD125" i="1"/>
  <c r="AD121" i="1"/>
  <c r="AD101" i="1"/>
  <c r="AD213" i="1"/>
  <c r="AD205" i="1"/>
  <c r="AD197" i="1"/>
  <c r="AD189" i="1"/>
  <c r="AD153" i="1"/>
  <c r="AD145" i="1"/>
  <c r="AC229" i="1"/>
  <c r="AC217" i="1"/>
  <c r="AC209" i="1"/>
  <c r="AC197" i="1"/>
  <c r="AC189" i="1"/>
  <c r="AC185" i="1"/>
  <c r="AC181" i="1"/>
  <c r="AC173" i="1"/>
  <c r="AC165" i="1"/>
  <c r="AC157" i="1"/>
  <c r="AC149" i="1"/>
  <c r="AC145" i="1"/>
  <c r="AC141" i="1"/>
  <c r="AC137" i="1"/>
  <c r="AC133" i="1"/>
  <c r="AC129" i="1"/>
  <c r="AC125" i="1"/>
  <c r="AC117" i="1"/>
  <c r="AC113" i="1"/>
  <c r="AC109" i="1"/>
  <c r="AC105" i="1"/>
  <c r="AC101" i="1"/>
  <c r="AC97" i="1"/>
  <c r="AC89" i="1"/>
  <c r="AC85" i="1"/>
  <c r="AC81" i="1"/>
  <c r="AC77" i="1"/>
  <c r="AC73" i="1"/>
  <c r="AC69" i="1"/>
  <c r="AC65" i="1"/>
  <c r="AC61" i="1"/>
  <c r="AC57" i="1"/>
  <c r="AC53" i="1"/>
  <c r="AC49" i="1"/>
  <c r="AC45" i="1"/>
  <c r="AC41" i="1"/>
  <c r="AC37" i="1"/>
  <c r="AC33" i="1"/>
  <c r="AC29" i="1"/>
  <c r="AC25" i="1"/>
  <c r="AC21" i="1"/>
  <c r="AC17" i="1"/>
  <c r="AC13" i="1"/>
  <c r="AC9" i="1"/>
  <c r="AC5" i="1"/>
  <c r="AC121" i="1"/>
  <c r="AC93" i="1"/>
  <c r="AD229" i="1"/>
  <c r="AD221" i="1"/>
  <c r="AD193" i="1"/>
  <c r="AD185" i="1"/>
  <c r="AD181" i="1"/>
  <c r="AD177" i="1"/>
  <c r="AD173" i="1"/>
  <c r="AD169" i="1"/>
  <c r="AD165" i="1"/>
  <c r="AD161" i="1"/>
  <c r="AD157" i="1"/>
  <c r="AC225" i="1"/>
  <c r="AC221" i="1"/>
  <c r="AC213" i="1"/>
  <c r="AC205" i="1"/>
  <c r="AC201" i="1"/>
  <c r="AC193" i="1"/>
  <c r="AC177" i="1"/>
  <c r="AC169" i="1"/>
  <c r="AC161" i="1"/>
  <c r="AC153" i="1"/>
  <c r="AD228" i="1"/>
  <c r="AD224" i="1"/>
  <c r="AD220" i="1"/>
  <c r="AD216" i="1"/>
  <c r="AD212" i="1"/>
  <c r="AD208" i="1"/>
  <c r="AD204" i="1"/>
  <c r="AD200" i="1"/>
  <c r="AD176" i="1"/>
  <c r="AD172" i="1"/>
  <c r="AD168" i="1"/>
  <c r="AD164" i="1"/>
  <c r="AD160" i="1"/>
  <c r="AD152" i="1"/>
  <c r="AD148" i="1"/>
  <c r="AD144" i="1"/>
  <c r="AD140" i="1"/>
  <c r="AD136" i="1"/>
  <c r="AD132" i="1"/>
  <c r="AD128" i="1"/>
  <c r="AD124" i="1"/>
  <c r="AD120" i="1"/>
  <c r="AD116" i="1"/>
  <c r="AD112" i="1"/>
  <c r="AD108" i="1"/>
  <c r="AD104" i="1"/>
  <c r="AD100" i="1"/>
  <c r="AD96" i="1"/>
  <c r="AD92" i="1"/>
  <c r="AD88" i="1"/>
  <c r="AD84" i="1"/>
  <c r="AD80" i="1"/>
  <c r="AD76" i="1"/>
  <c r="AD72" i="1"/>
  <c r="AD68" i="1"/>
  <c r="AD64" i="1"/>
  <c r="AD60" i="1"/>
  <c r="AD56" i="1"/>
  <c r="AD52" i="1"/>
  <c r="AD48" i="1"/>
  <c r="AD44" i="1"/>
  <c r="AD40" i="1"/>
  <c r="AD36" i="1"/>
  <c r="AD32" i="1"/>
  <c r="AD28" i="1"/>
  <c r="AD24" i="1"/>
  <c r="AD20" i="1"/>
  <c r="AD16" i="1"/>
  <c r="AD12" i="1"/>
  <c r="AD8" i="1"/>
  <c r="AD4" i="1"/>
  <c r="AD196" i="1"/>
  <c r="AD192" i="1"/>
  <c r="AD188" i="1"/>
  <c r="AD184" i="1"/>
  <c r="AD180" i="1"/>
  <c r="AD156" i="1"/>
  <c r="AD227" i="1"/>
  <c r="AD225" i="1"/>
  <c r="AD217" i="1"/>
  <c r="AD209" i="1"/>
  <c r="AD201" i="1"/>
  <c r="AD149" i="1"/>
  <c r="AC228" i="1"/>
  <c r="AC224" i="1"/>
  <c r="AC220" i="1"/>
  <c r="AC216" i="1"/>
  <c r="AC212" i="1"/>
  <c r="AC208" i="1"/>
  <c r="AC204" i="1"/>
  <c r="AC200" i="1"/>
  <c r="AC196" i="1"/>
  <c r="AC192" i="1"/>
  <c r="AC188" i="1"/>
  <c r="AC184" i="1"/>
  <c r="AC180" i="1"/>
  <c r="AC176" i="1"/>
  <c r="AC172" i="1"/>
  <c r="AC168" i="1"/>
  <c r="AC164" i="1"/>
  <c r="AC160" i="1"/>
  <c r="AC156" i="1"/>
  <c r="AC152" i="1"/>
  <c r="AC148" i="1"/>
  <c r="AC144" i="1"/>
  <c r="AC140" i="1"/>
  <c r="AC136" i="1"/>
  <c r="AC132" i="1"/>
  <c r="AC128" i="1"/>
  <c r="AC124" i="1"/>
  <c r="AC120" i="1"/>
  <c r="AC116" i="1"/>
  <c r="AC112" i="1"/>
  <c r="AC108" i="1"/>
  <c r="AC104" i="1"/>
  <c r="AC100" i="1"/>
  <c r="AC96" i="1"/>
  <c r="AC92" i="1"/>
  <c r="AC88" i="1"/>
  <c r="AC84" i="1"/>
  <c r="AC80" i="1"/>
  <c r="AC76" i="1"/>
  <c r="AC72" i="1"/>
  <c r="AC68" i="1"/>
  <c r="AC64" i="1"/>
  <c r="AC60" i="1"/>
  <c r="AC56" i="1"/>
  <c r="AC52" i="1"/>
  <c r="AC48" i="1"/>
  <c r="AC44" i="1"/>
  <c r="AC40" i="1"/>
  <c r="AC36" i="1"/>
  <c r="AC32" i="1"/>
  <c r="AC28" i="1"/>
  <c r="AC24" i="1"/>
  <c r="AC20" i="1"/>
  <c r="AC16" i="1"/>
  <c r="AC12" i="1"/>
  <c r="AC8" i="1"/>
  <c r="AC4" i="1"/>
  <c r="AG3" i="1"/>
  <c r="AF3" i="1"/>
  <c r="AD3" i="1"/>
  <c r="AC3" i="1"/>
  <c r="X3" i="1"/>
  <c r="W3" i="1"/>
  <c r="D14" i="1"/>
  <c r="AA230" i="3" a="1"/>
  <c r="X67" i="1" a="1"/>
  <c r="Z52" i="3" a="1"/>
  <c r="W116" i="1" a="1"/>
  <c r="X11" i="1" a="1"/>
  <c r="AA224" i="1" a="1"/>
  <c r="AA118" i="3" a="1"/>
  <c r="Z25" i="3" a="1"/>
  <c r="Z138" i="3" a="1"/>
  <c r="W11" i="1" a="1"/>
  <c r="Z100" i="1" a="1"/>
  <c r="AA216" i="3" a="1"/>
  <c r="W90" i="3" a="1"/>
  <c r="AA128" i="1" a="1"/>
  <c r="X53" i="3" a="1"/>
  <c r="X54" i="1" a="1"/>
  <c r="Z211" i="1" a="1"/>
  <c r="AA151" i="1" a="1"/>
  <c r="W56" i="3" a="1"/>
  <c r="Z185" i="1" a="1"/>
  <c r="X136" i="1" a="1"/>
  <c r="AA144" i="1" a="1"/>
  <c r="AA103" i="3" a="1"/>
  <c r="Z230" i="3" a="1"/>
  <c r="W23" i="1" a="1"/>
  <c r="AA91" i="1" a="1"/>
  <c r="Z120" i="3" a="1"/>
  <c r="AA77" i="1" a="1"/>
  <c r="X165" i="1" a="1"/>
  <c r="X19" i="1" a="1"/>
  <c r="Z164" i="1" a="1"/>
  <c r="X93" i="3" a="1"/>
  <c r="AA50" i="3" a="1"/>
  <c r="W62" i="3" a="1"/>
  <c r="W135" i="1" a="1"/>
  <c r="AA199" i="3" a="1"/>
  <c r="Z136" i="3" a="1"/>
  <c r="W68" i="1" a="1"/>
  <c r="X122" i="1" a="1"/>
  <c r="AA180" i="3" a="1"/>
  <c r="AA130" i="3" a="1"/>
  <c r="X159" i="3" a="1"/>
  <c r="W66" i="1" a="1"/>
  <c r="AA6" i="1" a="1"/>
  <c r="W46" i="3" a="1"/>
  <c r="AA145" i="3" a="1"/>
  <c r="AA28" i="1" a="1"/>
  <c r="W53" i="1" a="1"/>
  <c r="AA144" i="3" a="1"/>
  <c r="W122" i="3" a="1"/>
  <c r="W86" i="3" a="1"/>
  <c r="C11" i="1" a="1"/>
  <c r="Z16" i="3" a="1"/>
  <c r="Z134" i="1" a="1"/>
  <c r="W37" i="1" a="1"/>
  <c r="Z155" i="3" a="1"/>
  <c r="X97" i="1" a="1"/>
  <c r="AA44" i="1" a="1"/>
  <c r="W149" i="3" a="1"/>
  <c r="X25" i="1" a="1"/>
  <c r="X126" i="3" a="1"/>
  <c r="Z13" i="1" a="1"/>
  <c r="X55" i="3" a="1"/>
  <c r="X158" i="1" a="1"/>
  <c r="X6" i="1" a="1"/>
  <c r="X13" i="3" a="1"/>
  <c r="W51" i="1" a="1"/>
  <c r="Z125" i="3" a="1"/>
  <c r="X78" i="3" a="1"/>
  <c r="AA212" i="1" a="1"/>
  <c r="X144" i="3" a="1"/>
  <c r="Z13" i="3" a="1"/>
  <c r="AA192" i="1" a="1"/>
  <c r="Z229" i="1" a="1"/>
  <c r="AA134" i="1" a="1"/>
  <c r="AA38" i="1" a="1"/>
  <c r="W118" i="1" a="1"/>
  <c r="AA224" i="3" a="1"/>
  <c r="AA195" i="3" a="1"/>
  <c r="X53" i="1" a="1"/>
  <c r="W82" i="1" a="1"/>
  <c r="W113" i="3" a="1"/>
  <c r="X22" i="3" a="1"/>
  <c r="Z102" i="3" a="1"/>
  <c r="Z36" i="1" a="1"/>
  <c r="AA139" i="3" a="1"/>
  <c r="Z47" i="3" a="1"/>
  <c r="Z195" i="3" a="1"/>
  <c r="AA210" i="3" a="1"/>
  <c r="Z144" i="1" a="1"/>
  <c r="X81" i="3" a="1"/>
  <c r="W90" i="1" a="1"/>
  <c r="AA157" i="1" a="1"/>
  <c r="Z212" i="1" a="1"/>
  <c r="Z98" i="1" a="1"/>
  <c r="W158" i="1" a="1"/>
  <c r="W20" i="3" a="1"/>
  <c r="AA84" i="3" a="1"/>
  <c r="Z114" i="3" a="1"/>
  <c r="X168" i="1" a="1"/>
  <c r="Z189" i="1" a="1"/>
  <c r="AA221" i="3" a="1"/>
  <c r="X93" i="1" a="1"/>
  <c r="X148" i="1" a="1"/>
  <c r="AA60" i="1" a="1"/>
  <c r="X122" i="3" a="1"/>
  <c r="W24" i="3" a="1"/>
  <c r="Z213" i="1" a="1"/>
  <c r="Z79" i="3" a="1"/>
  <c r="AA137" i="1" a="1"/>
  <c r="AA61" i="3" a="1"/>
  <c r="Z53" i="1" a="1"/>
  <c r="X40" i="1" a="1"/>
  <c r="AA193" i="1" a="1"/>
  <c r="X54" i="3" a="1"/>
  <c r="Z146" i="1" a="1"/>
  <c r="W19" i="1" a="1"/>
  <c r="W75" i="3" a="1"/>
  <c r="W36" i="3" a="1"/>
  <c r="Z209" i="1" a="1"/>
  <c r="Z54" i="3" a="1"/>
  <c r="W50" i="3" a="1"/>
  <c r="W20" i="1" a="1"/>
  <c r="Z108" i="3" a="1"/>
  <c r="Z156" i="1" a="1"/>
  <c r="Z44" i="3" a="1"/>
  <c r="X97" i="3" a="1"/>
  <c r="W106" i="1" a="1"/>
  <c r="AA97" i="1" a="1"/>
  <c r="X145" i="1" a="1"/>
  <c r="AA3" i="1" a="1"/>
  <c r="Z129" i="3" a="1"/>
  <c r="Z83" i="3" a="1"/>
  <c r="AA190" i="3" a="1"/>
  <c r="X140" i="1" a="1"/>
  <c r="AA226" i="1" a="1"/>
  <c r="Z229" i="3" a="1"/>
  <c r="AA170" i="1" a="1"/>
  <c r="X45" i="1" a="1"/>
  <c r="Z26" i="1" a="1"/>
  <c r="Z64" i="1" a="1"/>
  <c r="Z128" i="3" a="1"/>
  <c r="AA141" i="3" a="1"/>
  <c r="AA52" i="3" a="1"/>
  <c r="X24" i="1" a="1"/>
  <c r="X66" i="3" a="1"/>
  <c r="Z154" i="1" a="1"/>
  <c r="AA109" i="1" a="1"/>
  <c r="Z75" i="3" a="1"/>
  <c r="X151" i="3" a="1"/>
  <c r="W120" i="3" a="1"/>
  <c r="Z127" i="1" a="1"/>
  <c r="AA140" i="3" a="1"/>
  <c r="Z4" i="3" a="1"/>
  <c r="Z94" i="1" a="1"/>
  <c r="W57" i="3" a="1"/>
  <c r="Z58" i="1" a="1"/>
  <c r="AA12" i="3" a="1"/>
  <c r="Z41" i="1" a="1"/>
  <c r="Z186" i="1" a="1"/>
  <c r="Z63" i="3" a="1"/>
  <c r="W87" i="1" a="1"/>
  <c r="AA69" i="1" a="1"/>
  <c r="Z30" i="1" a="1"/>
  <c r="AA88" i="1" a="1"/>
  <c r="W70" i="1" a="1"/>
  <c r="AA29" i="3" a="1"/>
  <c r="AA65" i="1" a="1"/>
  <c r="Z92" i="3" a="1"/>
  <c r="AA49" i="1" a="1"/>
  <c r="Z167" i="1" a="1"/>
  <c r="X82" i="1" a="1"/>
  <c r="AA27" i="1" a="1"/>
  <c r="Z31" i="3" a="1"/>
  <c r="W153" i="1" a="1"/>
  <c r="AA213" i="3" a="1"/>
  <c r="W68" i="3" a="1"/>
  <c r="Z40" i="1" a="1"/>
  <c r="AA167" i="1" a="1"/>
  <c r="Z198" i="3" a="1"/>
  <c r="X153" i="1" a="1"/>
  <c r="AA225" i="3" a="1"/>
  <c r="Z158" i="3" a="1"/>
  <c r="W84" i="1" a="1"/>
  <c r="Z59" i="3" a="1"/>
  <c r="Z117" i="3" a="1"/>
  <c r="Z218" i="1" a="1"/>
  <c r="X13" i="1" a="1"/>
  <c r="Z141" i="3" a="1"/>
  <c r="Z100" i="3" a="1"/>
  <c r="Z162" i="3" a="1"/>
  <c r="X81" i="1" a="1"/>
  <c r="AA166" i="3" a="1"/>
  <c r="W13" i="1" a="1"/>
  <c r="Z228" i="1" a="1"/>
  <c r="X106" i="1" a="1"/>
  <c r="AA73" i="3" a="1"/>
  <c r="W60" i="3" a="1"/>
  <c r="C16" i="3" a="1"/>
  <c r="AA94" i="1" a="1"/>
  <c r="Z182" i="3" a="1"/>
  <c r="W167" i="3" a="1"/>
  <c r="Z111" i="1" a="1"/>
  <c r="W93" i="1" a="1"/>
  <c r="W146" i="1" a="1"/>
  <c r="W62" i="1" a="1"/>
  <c r="Z51" i="3" a="1"/>
  <c r="AA229" i="1" a="1"/>
  <c r="X120" i="1" a="1"/>
  <c r="W25" i="1" a="1"/>
  <c r="Z176" i="1" a="1"/>
  <c r="X147" i="3" a="1"/>
  <c r="X113" i="1" a="1"/>
  <c r="X50" i="1" a="1"/>
  <c r="Z86" i="1" a="1"/>
  <c r="AA55" i="1" a="1"/>
  <c r="W165" i="1" a="1"/>
  <c r="AA20" i="3" a="1"/>
  <c r="AA6" i="3" a="1"/>
  <c r="X41" i="3" a="1"/>
  <c r="Z203" i="3" a="1"/>
  <c r="Z81" i="1" a="1"/>
  <c r="X64" i="1" a="1"/>
  <c r="X20" i="3" a="1"/>
  <c r="X8" i="1" a="1"/>
  <c r="Z33" i="1" a="1"/>
  <c r="AA40" i="3" a="1"/>
  <c r="Z139" i="3" a="1"/>
  <c r="W15" i="3" a="1"/>
  <c r="Z141" i="1" a="1"/>
  <c r="AA58" i="1" a="1"/>
  <c r="Z33" i="3" a="1"/>
  <c r="AA57" i="1" a="1"/>
  <c r="X102" i="1" a="1"/>
  <c r="W78" i="1" a="1"/>
  <c r="X71" i="1" a="1"/>
  <c r="W152" i="3" a="1"/>
  <c r="AA92" i="1" a="1"/>
  <c r="AA142" i="3" a="1"/>
  <c r="Z29" i="3" a="1"/>
  <c r="Z161" i="1" a="1"/>
  <c r="W49" i="3" a="1"/>
  <c r="AA113" i="1" a="1"/>
  <c r="Z101" i="1" a="1"/>
  <c r="W109" i="1" a="1"/>
  <c r="X72" i="1" a="1"/>
  <c r="X7" i="1" a="1"/>
  <c r="AA68" i="3" a="1"/>
  <c r="X26" i="1" a="1"/>
  <c r="W99" i="3" a="1"/>
  <c r="Z60" i="1" a="1"/>
  <c r="AA61" i="1" a="1"/>
  <c r="W116" i="3" a="1"/>
  <c r="X127" i="3" a="1"/>
  <c r="Z9" i="3" a="1"/>
  <c r="W55" i="1" a="1"/>
  <c r="Z107" i="3" a="1"/>
  <c r="W27" i="3" a="1"/>
  <c r="X51" i="3" a="1"/>
  <c r="X37" i="1" a="1"/>
  <c r="W40" i="3" a="1"/>
  <c r="AA183" i="3" a="1"/>
  <c r="AA75" i="1" a="1"/>
  <c r="X33" i="3" a="1"/>
  <c r="X28" i="1" a="1"/>
  <c r="AA93" i="1" a="1"/>
  <c r="X126" i="1" a="1"/>
  <c r="W139" i="3" a="1"/>
  <c r="Z179" i="3" a="1"/>
  <c r="W145" i="1" a="1"/>
  <c r="AA191" i="3" a="1"/>
  <c r="X125" i="1" a="1"/>
  <c r="AA100" i="3" a="1"/>
  <c r="Z113" i="1" a="1"/>
  <c r="AA107" i="1" a="1"/>
  <c r="C12" i="3" a="1"/>
  <c r="Z116" i="1" a="1"/>
  <c r="AA168" i="1" a="1"/>
  <c r="W152" i="1" a="1"/>
  <c r="X21" i="1" a="1"/>
  <c r="W88" i="1" a="1"/>
  <c r="AA208" i="3" a="1"/>
  <c r="AA217" i="3" a="1"/>
  <c r="Z57" i="1" a="1"/>
  <c r="Z132" i="3" a="1"/>
  <c r="AA34" i="1" a="1"/>
  <c r="Z17" i="1" a="1"/>
  <c r="Z194" i="1" a="1"/>
  <c r="AA70" i="1" a="1"/>
  <c r="Z76" i="3" a="1"/>
  <c r="X49" i="1" a="1"/>
  <c r="Z177" i="3" a="1"/>
  <c r="Z131" i="1" a="1"/>
  <c r="AA227" i="1" a="1"/>
  <c r="W28" i="3" a="1"/>
  <c r="Z219" i="3" a="1"/>
  <c r="AA153" i="3" a="1"/>
  <c r="AA150" i="3" a="1"/>
  <c r="X10" i="3" a="1"/>
  <c r="X88" i="3" a="1"/>
  <c r="AA69" i="3" a="1"/>
  <c r="AA121" i="1" a="1"/>
  <c r="W63" i="3" a="1"/>
  <c r="W164" i="3" a="1"/>
  <c r="X121" i="3" a="1"/>
  <c r="AA197" i="1" a="1"/>
  <c r="Z3" i="3" a="1"/>
  <c r="W15" i="1" a="1"/>
  <c r="Z91" i="1" a="1"/>
  <c r="W55" i="3" a="1"/>
  <c r="AA182" i="1" a="1"/>
  <c r="AA230" i="1" a="1"/>
  <c r="X140" i="3" a="1"/>
  <c r="AA63" i="3" a="1"/>
  <c r="W112" i="3" a="1"/>
  <c r="AA176" i="1" a="1"/>
  <c r="W4" i="1" a="1"/>
  <c r="W113" i="1" a="1"/>
  <c r="Z223" i="3" a="1"/>
  <c r="AA11" i="3" a="1"/>
  <c r="AA28" i="3" a="1"/>
  <c r="W47" i="1" a="1"/>
  <c r="AA76" i="1" a="1"/>
  <c r="Z166" i="3" a="1"/>
  <c r="W10" i="3" a="1"/>
  <c r="W23" i="3" a="1"/>
  <c r="AA194" i="3" a="1"/>
  <c r="AA104" i="3" a="1"/>
  <c r="W71" i="1" a="1"/>
  <c r="X82" i="3" a="1"/>
  <c r="Z185" i="3" a="1"/>
  <c r="W118" i="3" a="1"/>
  <c r="W28" i="1" a="1"/>
  <c r="AA83" i="3" a="1"/>
  <c r="AA103" i="1" a="1"/>
  <c r="W93" i="3" a="1"/>
  <c r="AA212" i="3" a="1"/>
  <c r="AA87" i="1" a="1"/>
  <c r="Z114" i="1" a="1"/>
  <c r="W7" i="3" a="1"/>
  <c r="Z162" i="1" a="1"/>
  <c r="AA99" i="1" a="1"/>
  <c r="Z79" i="1" a="1"/>
  <c r="W29" i="3" a="1"/>
  <c r="AA78" i="1" a="1"/>
  <c r="Z11" i="3" a="1"/>
  <c r="W30" i="1" a="1"/>
  <c r="X57" i="1" a="1"/>
  <c r="X96" i="1" a="1"/>
  <c r="X15" i="1" a="1"/>
  <c r="Z85" i="3" a="1"/>
  <c r="AA219" i="3" a="1"/>
  <c r="X130" i="1" a="1"/>
  <c r="W85" i="3" a="1"/>
  <c r="X24" i="3" a="1"/>
  <c r="Z132" i="1" a="1"/>
  <c r="W94" i="3" a="1"/>
  <c r="X108" i="1" a="1"/>
  <c r="X150" i="3" a="1"/>
  <c r="W33" i="1" a="1"/>
  <c r="AA135" i="1" a="1"/>
  <c r="Z215" i="1" a="1"/>
  <c r="Z204" i="3" a="1"/>
  <c r="X134" i="1" a="1"/>
  <c r="W100" i="1" a="1"/>
  <c r="AA56" i="1" a="1"/>
  <c r="Z22" i="1" a="1"/>
  <c r="W163" i="3" a="1"/>
  <c r="Z207" i="1" a="1"/>
  <c r="W107" i="1" a="1"/>
  <c r="W149" i="1" a="1"/>
  <c r="X99" i="1" a="1"/>
  <c r="AA146" i="3" a="1"/>
  <c r="X133" i="1" a="1"/>
  <c r="Z228" i="3" a="1"/>
  <c r="W44" i="1" a="1"/>
  <c r="X131" i="3" a="1"/>
  <c r="X142" i="1" a="1"/>
  <c r="AA158" i="1" a="1"/>
  <c r="X102" i="3" a="1"/>
  <c r="X129" i="3" a="1"/>
  <c r="AA53" i="1" a="1"/>
  <c r="Z149" i="3" a="1"/>
  <c r="AA24" i="3" a="1"/>
  <c r="W105" i="1" a="1"/>
  <c r="X32" i="1" a="1"/>
  <c r="Z74" i="3" a="1"/>
  <c r="X132" i="3" a="1"/>
  <c r="Z174" i="1" a="1"/>
  <c r="Z42" i="3" a="1"/>
  <c r="Z12" i="1" a="1"/>
  <c r="Z192" i="1" a="1"/>
  <c r="X167" i="1" a="1"/>
  <c r="X72" i="3" a="1"/>
  <c r="X112" i="3" a="1"/>
  <c r="AA34" i="3" a="1"/>
  <c r="X26" i="3" a="1"/>
  <c r="X95" i="3" a="1"/>
  <c r="Z66" i="3" a="1"/>
  <c r="X157" i="3" a="1"/>
  <c r="Z23" i="1" a="1"/>
  <c r="Z69" i="3" a="1"/>
  <c r="X9" i="3" a="1"/>
  <c r="Z67" i="1" a="1"/>
  <c r="W6" i="1" a="1"/>
  <c r="X163" i="3" a="1"/>
  <c r="X121" i="1" a="1"/>
  <c r="AA5" i="1" a="1"/>
  <c r="AA30" i="1" a="1"/>
  <c r="W54" i="3" a="1"/>
  <c r="X34" i="1" a="1"/>
  <c r="Z203" i="1" a="1"/>
  <c r="AA116" i="3" a="1"/>
  <c r="X84" i="1" a="1"/>
  <c r="Z119" i="1" a="1"/>
  <c r="Z77" i="1" a="1"/>
  <c r="AA50" i="1" a="1"/>
  <c r="W32" i="1" a="1"/>
  <c r="AA187" i="1" a="1"/>
  <c r="Z153" i="3" a="1"/>
  <c r="Z45" i="3" a="1"/>
  <c r="AA214" i="1" a="1"/>
  <c r="X69" i="1" a="1"/>
  <c r="W72" i="1" a="1"/>
  <c r="X141" i="3" a="1"/>
  <c r="AA201" i="1" a="1"/>
  <c r="W132" i="1" a="1"/>
  <c r="Z199" i="1" a="1"/>
  <c r="W133" i="1" a="1"/>
  <c r="Z8" i="3" a="1"/>
  <c r="AA226" i="3" a="1"/>
  <c r="W148" i="3" a="1"/>
  <c r="W126" i="1" a="1"/>
  <c r="X96" i="3" a="1"/>
  <c r="X60" i="1" a="1"/>
  <c r="X16" i="3" a="1"/>
  <c r="AA207" i="1" a="1"/>
  <c r="AA160" i="1" a="1"/>
  <c r="W6" i="3" a="1"/>
  <c r="Z121" i="1" a="1"/>
  <c r="AA60" i="3" a="1"/>
  <c r="Z87" i="1" a="1"/>
  <c r="W158" i="3" a="1"/>
  <c r="X35" i="3" a="1"/>
  <c r="AA102" i="1" a="1"/>
  <c r="Z173" i="3" a="1"/>
  <c r="Z216" i="3" a="1"/>
  <c r="AA136" i="1" a="1"/>
  <c r="W134" i="3" a="1"/>
  <c r="W124" i="1" a="1"/>
  <c r="W104" i="1" a="1"/>
  <c r="AA129" i="1" a="1"/>
  <c r="Z184" i="1" a="1"/>
  <c r="W67" i="3" a="1"/>
  <c r="W110" i="3" a="1"/>
  <c r="AA134" i="3" a="1"/>
  <c r="W119" i="3" a="1"/>
  <c r="Z168" i="3" a="1"/>
  <c r="Z221" i="1" a="1"/>
  <c r="AA120" i="3" a="1"/>
  <c r="Z224" i="3" a="1"/>
  <c r="AA7" i="3" a="1"/>
  <c r="AA160" i="3" a="1"/>
  <c r="AA196" i="1" a="1"/>
  <c r="AA195" i="1" a="1"/>
  <c r="W141" i="3" a="1"/>
  <c r="W161" i="1" a="1"/>
  <c r="X18" i="3" a="1"/>
  <c r="X101" i="1" a="1"/>
  <c r="Z5" i="3" a="1"/>
  <c r="AA155" i="1" a="1"/>
  <c r="Z8" i="1" a="1"/>
  <c r="AA33" i="1" a="1"/>
  <c r="Z200" i="1" a="1"/>
  <c r="W92" i="3" a="1"/>
  <c r="Z172" i="1" a="1"/>
  <c r="X123" i="3" a="1"/>
  <c r="Z205" i="3" a="1"/>
  <c r="AA148" i="1" a="1"/>
  <c r="Z45" i="1" a="1"/>
  <c r="Z190" i="3" a="1"/>
  <c r="X155" i="3" a="1"/>
  <c r="W159" i="1" a="1"/>
  <c r="AA191" i="1" a="1"/>
  <c r="W150" i="3" a="1"/>
  <c r="X80" i="1" a="1"/>
  <c r="AA204" i="1" a="1"/>
  <c r="AA209" i="1" a="1"/>
  <c r="AA52" i="1" a="1"/>
  <c r="AA194" i="1" a="1"/>
  <c r="X131" i="1" a="1"/>
  <c r="X144" i="1" a="1"/>
  <c r="Z37" i="1" a="1"/>
  <c r="Z74" i="1" a="1"/>
  <c r="AA41" i="1" a="1"/>
  <c r="X47" i="1" a="1"/>
  <c r="Z209" i="3" a="1"/>
  <c r="W146" i="3" a="1"/>
  <c r="X74" i="1" a="1"/>
  <c r="Z180" i="1" a="1"/>
  <c r="AA199" i="1" a="1"/>
  <c r="X83" i="1" a="1"/>
  <c r="X154" i="3" a="1"/>
  <c r="AA5" i="3" a="1"/>
  <c r="AA117" i="1" a="1"/>
  <c r="AA25" i="3" a="1"/>
  <c r="W167" i="1" a="1"/>
  <c r="X163" i="1" a="1"/>
  <c r="AA104" i="1" a="1"/>
  <c r="AA155" i="3" a="1"/>
  <c r="X120" i="3" a="1"/>
  <c r="Z95" i="3" a="1"/>
  <c r="AA95" i="1" a="1"/>
  <c r="W53" i="3" a="1"/>
  <c r="C14" i="1" a="1"/>
  <c r="AA187" i="3" a="1"/>
  <c r="Z116" i="3" a="1"/>
  <c r="Z148" i="3" a="1"/>
  <c r="X133" i="3" a="1"/>
  <c r="Z227" i="1" a="1"/>
  <c r="Z193" i="1" a="1"/>
  <c r="AA64" i="1" a="1"/>
  <c r="AA84" i="1" a="1"/>
  <c r="W56" i="1" a="1"/>
  <c r="Z126" i="1" a="1"/>
  <c r="W155" i="1" a="1"/>
  <c r="Z220" i="1" a="1"/>
  <c r="Z93" i="3" a="1"/>
  <c r="AA20" i="1" a="1"/>
  <c r="Z159" i="1" a="1"/>
  <c r="X23" i="3" a="1"/>
  <c r="AA159" i="3" a="1"/>
  <c r="AA57" i="3" a="1"/>
  <c r="AA22" i="3" a="1"/>
  <c r="Z204" i="1" a="1"/>
  <c r="X48" i="3" a="1"/>
  <c r="W82" i="3" a="1"/>
  <c r="X22" i="1" a="1"/>
  <c r="X39" i="1" a="1"/>
  <c r="AA125" i="3" a="1"/>
  <c r="W18" i="1" a="1"/>
  <c r="Z183" i="1" a="1"/>
  <c r="W123" i="3" a="1"/>
  <c r="W26" i="3" a="1"/>
  <c r="W83" i="3" a="1"/>
  <c r="Z38" i="1" a="1"/>
  <c r="W108" i="3" a="1"/>
  <c r="W52" i="3" a="1"/>
  <c r="AA192" i="3" a="1"/>
  <c r="X76" i="1" a="1"/>
  <c r="AA211" i="3" a="1"/>
  <c r="AA217" i="1" a="1"/>
  <c r="X167" i="3" a="1"/>
  <c r="AA105" i="3" a="1"/>
  <c r="AA46" i="1" a="1"/>
  <c r="Z201" i="1" a="1"/>
  <c r="AA154" i="3" a="1"/>
  <c r="AA178" i="3" a="1"/>
  <c r="AA122" i="1" a="1"/>
  <c r="W135" i="3" a="1"/>
  <c r="Z115" i="1" a="1"/>
  <c r="W42" i="3" a="1"/>
  <c r="AA80" i="1" a="1"/>
  <c r="X143" i="3" a="1"/>
  <c r="AA198" i="1" a="1"/>
  <c r="Z78" i="1" a="1"/>
  <c r="AA220" i="3" a="1"/>
  <c r="W139" i="1" a="1"/>
  <c r="W130" i="1" a="1"/>
  <c r="Z10" i="3" a="1"/>
  <c r="Z163" i="1" a="1"/>
  <c r="W77" i="3" a="1"/>
  <c r="Z24" i="3" a="1"/>
  <c r="AA59" i="1" a="1"/>
  <c r="W61" i="3" a="1"/>
  <c r="Z211" i="3" a="1"/>
  <c r="Z27" i="1" a="1"/>
  <c r="Z171" i="3" a="1"/>
  <c r="X55" i="1" a="1"/>
  <c r="AA96" i="1" a="1"/>
  <c r="Z35" i="1" a="1"/>
  <c r="Z37" i="3" a="1"/>
  <c r="X38" i="3" a="1"/>
  <c r="Z22" i="3" a="1"/>
  <c r="AA83" i="1" a="1"/>
  <c r="AA143" i="3" a="1"/>
  <c r="AA181" i="3" a="1"/>
  <c r="AA38" i="3" a="1"/>
  <c r="Z143" i="1" a="1"/>
  <c r="X134" i="3" a="1"/>
  <c r="W110" i="1" a="1"/>
  <c r="AA110" i="1" a="1"/>
  <c r="Z179" i="1" a="1"/>
  <c r="W77" i="1" a="1"/>
  <c r="AA14" i="3" a="1"/>
  <c r="AA161" i="1" a="1"/>
  <c r="Z160" i="3" a="1"/>
  <c r="Z173" i="1" a="1"/>
  <c r="AA12" i="1" a="1"/>
  <c r="Z57" i="3" a="1"/>
  <c r="Z10" i="1" a="1"/>
  <c r="AA145" i="1" a="1"/>
  <c r="W48" i="1" a="1"/>
  <c r="AA205" i="1" a="1"/>
  <c r="X87" i="1" a="1"/>
  <c r="AA72" i="3" a="1"/>
  <c r="AA98" i="3" a="1"/>
  <c r="Z99" i="1" a="1"/>
  <c r="X115" i="1" a="1"/>
  <c r="W130" i="3" a="1"/>
  <c r="Z188" i="3" a="1"/>
  <c r="Z124" i="3" a="1"/>
  <c r="X43" i="3" a="1"/>
  <c r="Z46" i="3" a="1"/>
  <c r="X60" i="3" a="1"/>
  <c r="W54" i="1" a="1"/>
  <c r="AA184" i="1" a="1"/>
  <c r="AA80" i="3" a="1"/>
  <c r="W17" i="1" a="1"/>
  <c r="X149" i="3" a="1"/>
  <c r="Z99" i="3" a="1"/>
  <c r="AA22" i="1" a="1"/>
  <c r="Z145" i="1" a="1"/>
  <c r="X123" i="1" a="1"/>
  <c r="AA82" i="1" a="1"/>
  <c r="AA175" i="1" a="1"/>
  <c r="AA169" i="3" a="1"/>
  <c r="W117" i="1" a="1"/>
  <c r="W81" i="3" a="1"/>
  <c r="X166" i="3" a="1"/>
  <c r="X112" i="1" a="1"/>
  <c r="W80" i="3" a="1"/>
  <c r="Z178" i="1" a="1"/>
  <c r="W22" i="1" a="1"/>
  <c r="AA170" i="3" a="1"/>
  <c r="Z224" i="1" a="1"/>
  <c r="AA35" i="3" a="1"/>
  <c r="AA102" i="3" a="1"/>
  <c r="W30" i="3" a="1"/>
  <c r="Z23" i="3" a="1"/>
  <c r="W162" i="1" a="1"/>
  <c r="W156" i="1" a="1"/>
  <c r="Z101" i="3" a="1"/>
  <c r="W39" i="3" a="1"/>
  <c r="AA101" i="3" a="1"/>
  <c r="W129" i="3" a="1"/>
  <c r="X41" i="1" a="1"/>
  <c r="AA17" i="1" a="1"/>
  <c r="Z137" i="3" a="1"/>
  <c r="W9" i="3" a="1"/>
  <c r="X75" i="1" a="1"/>
  <c r="Z87" i="3" a="1"/>
  <c r="AA15" i="1" a="1"/>
  <c r="W124" i="3" a="1"/>
  <c r="Z147" i="1" a="1"/>
  <c r="Z20" i="3" a="1"/>
  <c r="Z220" i="3" a="1"/>
  <c r="Z181" i="1" a="1"/>
  <c r="AA120" i="1" a="1"/>
  <c r="X136" i="3" a="1"/>
  <c r="X155" i="1" a="1"/>
  <c r="Z214" i="3" a="1"/>
  <c r="W104" i="3" a="1"/>
  <c r="W27" i="1" a="1"/>
  <c r="X164" i="1" a="1"/>
  <c r="AA151" i="3" a="1"/>
  <c r="AA54" i="3" a="1"/>
  <c r="Z174" i="3" a="1"/>
  <c r="AA68" i="1" a="1"/>
  <c r="AA88" i="3" a="1"/>
  <c r="AA8" i="3" a="1"/>
  <c r="Z213" i="3" a="1"/>
  <c r="Z71" i="1" a="1"/>
  <c r="AA85" i="1" a="1"/>
  <c r="AA81" i="1" a="1"/>
  <c r="W128" i="1" a="1"/>
  <c r="X5" i="3" a="1"/>
  <c r="Z134" i="3" a="1"/>
  <c r="X160" i="3" a="1"/>
  <c r="Z28" i="3" a="1"/>
  <c r="AA90" i="3" a="1"/>
  <c r="AA137" i="3" a="1"/>
  <c r="AA121" i="3" a="1"/>
  <c r="AA202" i="3" a="1"/>
  <c r="X154" i="1" a="1"/>
  <c r="AA74" i="1" a="1"/>
  <c r="AA65" i="3" a="1"/>
  <c r="AA177" i="1" a="1"/>
  <c r="Z93" i="1" a="1"/>
  <c r="Z210" i="1" a="1"/>
  <c r="W108" i="1" a="1"/>
  <c r="AA63" i="1" a="1"/>
  <c r="X111" i="1" a="1"/>
  <c r="AA228" i="3" a="1"/>
  <c r="W75" i="1" a="1"/>
  <c r="Z183" i="3" a="1"/>
  <c r="X110" i="1" a="1"/>
  <c r="X101" i="3" a="1"/>
  <c r="Z61" i="3" a="1"/>
  <c r="Z72" i="1" a="1"/>
  <c r="Z140" i="1" a="1"/>
  <c r="Z97" i="3" a="1"/>
  <c r="Z106" i="3" a="1"/>
  <c r="AA198" i="3" a="1"/>
  <c r="AA41" i="3" a="1"/>
  <c r="W109" i="3" a="1"/>
  <c r="W76" i="3" a="1"/>
  <c r="W156" i="3" a="1"/>
  <c r="Z222" i="1" a="1"/>
  <c r="Z130" i="3" a="1"/>
  <c r="W169" i="3" a="1"/>
  <c r="W169" i="1" a="1"/>
  <c r="Z70" i="1" a="1"/>
  <c r="Z119" i="3" a="1"/>
  <c r="W64" i="3" a="1"/>
  <c r="AA208" i="1" a="1"/>
  <c r="Z130" i="1" a="1"/>
  <c r="W102" i="3" a="1"/>
  <c r="AA93" i="3" a="1"/>
  <c r="Z150" i="3" a="1"/>
  <c r="X76" i="3" a="1"/>
  <c r="Z153" i="1" a="1"/>
  <c r="W132" i="3" a="1"/>
  <c r="W160" i="3" a="1"/>
  <c r="AA178" i="1" a="1"/>
  <c r="W14" i="1" a="1"/>
  <c r="X29" i="3" a="1"/>
  <c r="W21" i="1" a="1"/>
  <c r="AA67" i="1" a="1"/>
  <c r="AA45" i="1" a="1"/>
  <c r="Z51" i="1" a="1"/>
  <c r="W142" i="3" a="1"/>
  <c r="W91" i="3" a="1"/>
  <c r="X34" i="3" a="1"/>
  <c r="W128" i="3" a="1"/>
  <c r="Z200" i="3" a="1"/>
  <c r="AA119" i="3" a="1"/>
  <c r="W143" i="3" a="1"/>
  <c r="AA189" i="1" a="1"/>
  <c r="Z68" i="3" a="1"/>
  <c r="W138" i="1" a="1"/>
  <c r="W134" i="1" a="1"/>
  <c r="X73" i="1" a="1"/>
  <c r="W162" i="3" a="1"/>
  <c r="X74" i="3" a="1"/>
  <c r="W5" i="1" a="1"/>
  <c r="Z70" i="3" a="1"/>
  <c r="W41" i="1" a="1"/>
  <c r="Z226" i="1" a="1"/>
  <c r="W99" i="1" a="1"/>
  <c r="X130" i="3" a="1"/>
  <c r="AA111" i="3" a="1"/>
  <c r="X113" i="3" a="1"/>
  <c r="X35" i="1" a="1"/>
  <c r="W65" i="3" a="1"/>
  <c r="Z41" i="3" a="1"/>
  <c r="X92" i="3" a="1"/>
  <c r="W79" i="1" a="1"/>
  <c r="AA114" i="3" a="1"/>
  <c r="W65" i="1" a="1"/>
  <c r="Z184" i="3" a="1"/>
  <c r="X116" i="3" a="1"/>
  <c r="Z39" i="3" a="1"/>
  <c r="X146" i="3" a="1"/>
  <c r="AA173" i="1" a="1"/>
  <c r="X73" i="3" a="1"/>
  <c r="AA11" i="1" a="1"/>
  <c r="W81" i="1" a="1"/>
  <c r="X85" i="3" a="1"/>
  <c r="W45" i="1" a="1"/>
  <c r="Z214" i="1" a="1"/>
  <c r="X94" i="1" a="1"/>
  <c r="X77" i="3" a="1"/>
  <c r="AA107" i="3" a="1"/>
  <c r="Z36" i="3" a="1"/>
  <c r="X89" i="3" a="1"/>
  <c r="AA220" i="1" a="1"/>
  <c r="AA188" i="1" a="1"/>
  <c r="X63" i="1" a="1"/>
  <c r="AA181" i="1" a="1"/>
  <c r="X6" i="3" a="1"/>
  <c r="AA207" i="3" a="1"/>
  <c r="X37" i="3" a="1"/>
  <c r="W103" i="3" a="1"/>
  <c r="Z96" i="1" a="1"/>
  <c r="W16" i="1" a="1"/>
  <c r="X84" i="3" a="1"/>
  <c r="Z39" i="1" a="1"/>
  <c r="W121" i="1" a="1"/>
  <c r="W140" i="3" a="1"/>
  <c r="W87" i="3" a="1"/>
  <c r="Z222" i="3" a="1"/>
  <c r="AA186" i="3" a="1"/>
  <c r="AA59" i="3" a="1"/>
  <c r="X8" i="3" a="1"/>
  <c r="AA206" i="1" a="1"/>
  <c r="Z142" i="1" a="1"/>
  <c r="AA203" i="1" a="1"/>
  <c r="X137" i="1" a="1"/>
  <c r="AA225" i="1" a="1"/>
  <c r="AA124" i="1" a="1"/>
  <c r="AA179" i="1" a="1"/>
  <c r="Z28" i="1" a="1"/>
  <c r="AA71" i="1" a="1"/>
  <c r="X139" i="3" a="1"/>
  <c r="W11" i="3" a="1"/>
  <c r="W58" i="3" a="1"/>
  <c r="Z135" i="1" a="1"/>
  <c r="Z226" i="3" a="1"/>
  <c r="W72" i="3" a="1"/>
  <c r="AA168" i="3" a="1"/>
  <c r="X115" i="3" a="1"/>
  <c r="W73" i="3" a="1"/>
  <c r="W85" i="1" a="1"/>
  <c r="Z56" i="1" a="1"/>
  <c r="Z40" i="3" a="1"/>
  <c r="AA26" i="3" a="1"/>
  <c r="Z106" i="1" a="1"/>
  <c r="X162" i="1" a="1"/>
  <c r="X58" i="3" a="1"/>
  <c r="AA176" i="3" a="1"/>
  <c r="Z178" i="3" a="1"/>
  <c r="AA43" i="3" a="1"/>
  <c r="AA16" i="1" a="1"/>
  <c r="AA18" i="1" a="1"/>
  <c r="W51" i="3" a="1"/>
  <c r="W157" i="1" a="1"/>
  <c r="Z118" i="3" a="1"/>
  <c r="Z102" i="1" a="1"/>
  <c r="AA71" i="3" a="1"/>
  <c r="AA75" i="3" a="1"/>
  <c r="W17" i="3" a="1"/>
  <c r="AA4" i="1" a="1"/>
  <c r="AA190" i="1" a="1"/>
  <c r="Z115" i="3" a="1"/>
  <c r="Z196" i="3" a="1"/>
  <c r="Z88" i="3" a="1"/>
  <c r="AA163" i="1" a="1"/>
  <c r="W166" i="3" a="1"/>
  <c r="X86" i="1" a="1"/>
  <c r="Z152" i="1" a="1"/>
  <c r="W137" i="3" a="1"/>
  <c r="X161" i="3" a="1"/>
  <c r="Z186" i="3" a="1"/>
  <c r="Z223" i="1" a="1"/>
  <c r="W106" i="3" a="1"/>
  <c r="AA31" i="1" a="1"/>
  <c r="X17" i="3" a="1"/>
  <c r="W122" i="1" a="1"/>
  <c r="AA130" i="1" a="1"/>
  <c r="W21" i="3" a="1"/>
  <c r="AA40" i="1" a="1"/>
  <c r="W67" i="1" a="1"/>
  <c r="W96" i="1" a="1"/>
  <c r="X85" i="1" a="1"/>
  <c r="W32" i="3" a="1"/>
  <c r="AA200" i="3" a="1"/>
  <c r="AA163" i="3" a="1"/>
  <c r="X64" i="3" a="1"/>
  <c r="Z18" i="3" a="1"/>
  <c r="X68" i="3" a="1"/>
  <c r="W154" i="1" a="1"/>
  <c r="Z77" i="3" a="1"/>
  <c r="AA115" i="3" a="1"/>
  <c r="X91" i="1" a="1"/>
  <c r="Z164" i="3" a="1"/>
  <c r="W103" i="1" a="1"/>
  <c r="X148" i="3" a="1"/>
  <c r="Z12" i="3" a="1"/>
  <c r="Z46" i="1" a="1"/>
  <c r="Z105" i="3" a="1"/>
  <c r="AA157" i="3" a="1"/>
  <c r="AA86" i="1" a="1"/>
  <c r="W5" i="3" a="1"/>
  <c r="X90" i="1" a="1"/>
  <c r="W25" i="3" a="1"/>
  <c r="AA162" i="3" a="1"/>
  <c r="AA101" i="1" a="1"/>
  <c r="Z123" i="1" a="1"/>
  <c r="W80" i="1" a="1"/>
  <c r="W114" i="3" a="1"/>
  <c r="W144" i="1" a="1"/>
  <c r="AA66" i="1" a="1"/>
  <c r="W117" i="3" a="1"/>
  <c r="Z113" i="3" a="1"/>
  <c r="AA149" i="3" a="1"/>
  <c r="AA18" i="3" a="1"/>
  <c r="Z19" i="3" a="1"/>
  <c r="W136" i="3" a="1"/>
  <c r="X109" i="1" a="1"/>
  <c r="AA112" i="1" a="1"/>
  <c r="W26" i="1" a="1"/>
  <c r="AA66" i="3" a="1"/>
  <c r="AA171" i="1" a="1"/>
  <c r="AA8" i="1" a="1"/>
  <c r="W41" i="3" a="1"/>
  <c r="Z112" i="1" a="1"/>
  <c r="X4" i="3" a="1"/>
  <c r="Z53" i="3" a="1"/>
  <c r="AA67" i="3" a="1"/>
  <c r="Z110" i="3" a="1"/>
  <c r="W16" i="3" a="1"/>
  <c r="W148" i="1" a="1"/>
  <c r="Z163" i="3" a="1"/>
  <c r="Z140" i="3" a="1"/>
  <c r="AA161" i="3" a="1"/>
  <c r="X153" i="3" a="1"/>
  <c r="X61" i="1" a="1"/>
  <c r="Z207" i="3" a="1"/>
  <c r="X156" i="1" a="1"/>
  <c r="W29" i="1" a="1"/>
  <c r="Z90" i="3" a="1"/>
  <c r="Z9" i="1" a="1"/>
  <c r="AA10" i="1" a="1"/>
  <c r="X118" i="3" a="1"/>
  <c r="W71" i="3" a="1"/>
  <c r="Z52" i="1" a="1"/>
  <c r="Z75" i="1" a="1"/>
  <c r="W138" i="3" a="1"/>
  <c r="Z175" i="1" a="1"/>
  <c r="W40" i="1" a="1"/>
  <c r="X137" i="3" a="1"/>
  <c r="AA156" i="3" a="1"/>
  <c r="AA222" i="3" a="1"/>
  <c r="Z61" i="1" a="1"/>
  <c r="W95" i="1" a="1"/>
  <c r="AA4" i="3" a="1"/>
  <c r="AA138" i="3" a="1"/>
  <c r="X12" i="3" a="1"/>
  <c r="AA171" i="3" a="1"/>
  <c r="W49" i="1" a="1"/>
  <c r="W143" i="1" a="1"/>
  <c r="AA140" i="1" a="1"/>
  <c r="X62" i="1" a="1"/>
  <c r="W127" i="3" a="1"/>
  <c r="X66" i="1" a="1"/>
  <c r="AA150" i="1" a="1"/>
  <c r="W121" i="3" a="1"/>
  <c r="Z230" i="1" a="1"/>
  <c r="Z48" i="3" a="1"/>
  <c r="AA174" i="1" a="1"/>
  <c r="AA45" i="3" a="1"/>
  <c r="AA131" i="3" a="1"/>
  <c r="W43" i="1" a="1"/>
  <c r="X20" i="1" a="1"/>
  <c r="Z147" i="3" a="1"/>
  <c r="Z50" i="3" a="1"/>
  <c r="X83" i="3" a="1"/>
  <c r="W4" i="3" a="1"/>
  <c r="W145" i="3" a="1"/>
  <c r="X105" i="1" a="1"/>
  <c r="W159" i="3" a="1"/>
  <c r="Z157" i="3" a="1"/>
  <c r="W45" i="3" a="1"/>
  <c r="X57" i="3" a="1"/>
  <c r="X52" i="3" a="1"/>
  <c r="Z139" i="1" a="1"/>
  <c r="Z131" i="3" a="1"/>
  <c r="AA125" i="1" a="1"/>
  <c r="AA89" i="3" a="1"/>
  <c r="X110" i="3" a="1"/>
  <c r="AA222" i="1" a="1"/>
  <c r="X42" i="1" a="1"/>
  <c r="X31" i="1" a="1"/>
  <c r="W76" i="1" a="1"/>
  <c r="AA213" i="1" a="1"/>
  <c r="Z26" i="3" a="1"/>
  <c r="AA113" i="3" a="1"/>
  <c r="Z165" i="1" a="1"/>
  <c r="X105" i="3" a="1"/>
  <c r="Z85" i="1" a="1"/>
  <c r="AA74" i="3" a="1"/>
  <c r="W42" i="1" a="1"/>
  <c r="X67" i="3" a="1"/>
  <c r="AA64" i="3" a="1"/>
  <c r="Z81" i="3" a="1"/>
  <c r="W96" i="3" a="1"/>
  <c r="Z206" i="1" a="1"/>
  <c r="W59" i="1" a="1"/>
  <c r="Z177" i="1" a="1"/>
  <c r="X157" i="1" a="1"/>
  <c r="AA90" i="1" a="1"/>
  <c r="X23" i="1" a="1"/>
  <c r="AA229" i="3" a="1"/>
  <c r="W59" i="3" a="1"/>
  <c r="Z159" i="3" a="1"/>
  <c r="X128" i="1" a="1"/>
  <c r="AA149" i="1" a="1"/>
  <c r="AA172" i="3" a="1"/>
  <c r="AA185" i="1" a="1"/>
  <c r="W160" i="1" a="1"/>
  <c r="AA13" i="3" a="1"/>
  <c r="X58" i="1" a="1"/>
  <c r="X77" i="1" a="1"/>
  <c r="X152" i="1" a="1"/>
  <c r="Z170" i="1" a="1"/>
  <c r="X5" i="1" a="1"/>
  <c r="AA182" i="3" a="1"/>
  <c r="X33" i="1" a="1"/>
  <c r="AA133" i="1" a="1"/>
  <c r="AA188" i="3" a="1"/>
  <c r="AA51" i="1" a="1"/>
  <c r="W142" i="1" a="1"/>
  <c r="AA39" i="3" a="1"/>
  <c r="X30" i="3" a="1"/>
  <c r="AA17" i="3" a="1"/>
  <c r="AA219" i="1" a="1"/>
  <c r="Z146" i="3" a="1"/>
  <c r="W100" i="3" a="1"/>
  <c r="W123" i="1" a="1"/>
  <c r="Z176" i="3" a="1"/>
  <c r="W52" i="1" a="1"/>
  <c r="W34" i="1" a="1"/>
  <c r="X49" i="3" a="1"/>
  <c r="X28" i="3" a="1"/>
  <c r="X129" i="1" a="1"/>
  <c r="X21" i="3" a="1"/>
  <c r="X124" i="3" a="1"/>
  <c r="AA115" i="1" a="1"/>
  <c r="Z27" i="3" a="1"/>
  <c r="X75" i="3" a="1"/>
  <c r="Z7" i="1" a="1"/>
  <c r="Z80" i="3" a="1"/>
  <c r="AA228" i="1" a="1"/>
  <c r="Z42" i="1" a="1"/>
  <c r="W8" i="3" a="1"/>
  <c r="X32" i="3" a="1"/>
  <c r="AA31" i="3" a="1"/>
  <c r="Z91" i="3" a="1"/>
  <c r="AA172" i="1" a="1"/>
  <c r="W10" i="1" a="1"/>
  <c r="Z86" i="3" a="1"/>
  <c r="AA108" i="1" a="1"/>
  <c r="W60" i="1" a="1"/>
  <c r="X90" i="3" a="1"/>
  <c r="X92" i="1" a="1"/>
  <c r="AA210" i="1" a="1"/>
  <c r="Z210" i="3" a="1"/>
  <c r="Z160" i="1" a="1"/>
  <c r="X65" i="1" a="1"/>
  <c r="AA156" i="1" a="1"/>
  <c r="Z20" i="1" a="1"/>
  <c r="Z82" i="1" a="1"/>
  <c r="W136" i="1" a="1"/>
  <c r="X47" i="3" a="1"/>
  <c r="AA112" i="3" a="1"/>
  <c r="Z104" i="3" a="1"/>
  <c r="W12" i="1" a="1"/>
  <c r="W64" i="1" a="1"/>
  <c r="W12" i="3" a="1"/>
  <c r="W98" i="3" a="1"/>
  <c r="X70" i="1" a="1"/>
  <c r="AA35" i="1" a="1"/>
  <c r="X71" i="3" a="1"/>
  <c r="W22" i="3" a="1"/>
  <c r="AA85" i="3" a="1"/>
  <c r="AA36" i="3" a="1"/>
  <c r="X117" i="1" a="1"/>
  <c r="W74" i="1" a="1"/>
  <c r="AA100" i="1" a="1"/>
  <c r="Z187" i="1" a="1"/>
  <c r="Z181" i="3" a="1"/>
  <c r="AA184" i="3" a="1"/>
  <c r="Z171" i="1" a="1"/>
  <c r="AA152" i="3" a="1"/>
  <c r="AA81" i="3" a="1"/>
  <c r="W125" i="3" a="1"/>
  <c r="W8" i="1" a="1"/>
  <c r="AA49" i="3" a="1"/>
  <c r="Z144" i="3" a="1"/>
  <c r="W165" i="3" a="1"/>
  <c r="W18" i="3" a="1"/>
  <c r="W31" i="1" a="1"/>
  <c r="AA218" i="1" a="1"/>
  <c r="Z56" i="3" a="1"/>
  <c r="Z227" i="3" a="1"/>
  <c r="Z197" i="3" a="1"/>
  <c r="X119" i="3" a="1"/>
  <c r="W79" i="3" a="1"/>
  <c r="W44" i="3" a="1"/>
  <c r="Z55" i="1" a="1"/>
  <c r="X14" i="1" a="1"/>
  <c r="AA72" i="1" a="1"/>
  <c r="X95" i="1" a="1"/>
  <c r="AA48" i="1" a="1"/>
  <c r="X46" i="3" a="1"/>
  <c r="AA78" i="3" a="1"/>
  <c r="AA32" i="1" a="1"/>
  <c r="Z217" i="3" a="1"/>
  <c r="Z127" i="3" a="1"/>
  <c r="X166" i="1" a="1"/>
  <c r="Z19" i="1" a="1"/>
  <c r="W43" i="3" a="1"/>
  <c r="AA202" i="1" a="1"/>
  <c r="AA23" i="3" a="1"/>
  <c r="W24" i="1" a="1"/>
  <c r="Z128" i="1" a="1"/>
  <c r="Z202" i="1" a="1"/>
  <c r="Z14" i="1" a="1"/>
  <c r="X138" i="1" a="1"/>
  <c r="Z199" i="3" a="1"/>
  <c r="AA108" i="3" a="1"/>
  <c r="X168" i="3" a="1"/>
  <c r="Z145" i="3" a="1"/>
  <c r="AA32" i="3" a="1"/>
  <c r="AA109" i="3" a="1"/>
  <c r="X169" i="1" a="1"/>
  <c r="Z124" i="1" a="1"/>
  <c r="X107" i="3" a="1"/>
  <c r="AA204" i="3" a="1"/>
  <c r="W101" i="3" a="1"/>
  <c r="AA175" i="3" a="1"/>
  <c r="Z95" i="1" a="1"/>
  <c r="X118" i="1" a="1"/>
  <c r="W127" i="1" a="1"/>
  <c r="Z169" i="1" a="1"/>
  <c r="X127" i="1" a="1"/>
  <c r="Z11" i="1" a="1"/>
  <c r="W126" i="3" a="1"/>
  <c r="W13" i="3" a="1"/>
  <c r="W61" i="1" a="1"/>
  <c r="W164" i="1" a="1"/>
  <c r="Z15" i="3" a="1"/>
  <c r="X11" i="3" a="1"/>
  <c r="AA19" i="3" a="1"/>
  <c r="AA209" i="3" a="1"/>
  <c r="AA218" i="3" a="1"/>
  <c r="W94" i="1" a="1"/>
  <c r="AA47" i="1" a="1"/>
  <c r="AA36" i="1" a="1"/>
  <c r="Z105" i="1" a="1"/>
  <c r="Z96" i="3" a="1"/>
  <c r="X88" i="1" a="1"/>
  <c r="Z62" i="3" a="1"/>
  <c r="Z94" i="3" a="1"/>
  <c r="Z117" i="1" a="1"/>
  <c r="X147" i="1" a="1"/>
  <c r="W150" i="1" a="1"/>
  <c r="X159" i="1" a="1"/>
  <c r="X62" i="3" a="1"/>
  <c r="Z193" i="3" a="1"/>
  <c r="Z62" i="1" a="1"/>
  <c r="X65" i="3" a="1"/>
  <c r="Z82" i="3" a="1"/>
  <c r="AA79" i="1" a="1"/>
  <c r="X100" i="1" a="1"/>
  <c r="AA124" i="3" a="1"/>
  <c r="AA92" i="3" a="1"/>
  <c r="Z195" i="1" a="1"/>
  <c r="Z88" i="1" a="1"/>
  <c r="X44" i="1" a="1"/>
  <c r="Z58" i="3" a="1"/>
  <c r="W3" i="3" a="1"/>
  <c r="W19" i="3" a="1"/>
  <c r="AA91" i="3" a="1"/>
  <c r="AA211" i="1" a="1"/>
  <c r="X17" i="1" a="1"/>
  <c r="X25" i="3" a="1"/>
  <c r="AA180" i="1" a="1"/>
  <c r="W92" i="1" a="1"/>
  <c r="Z121" i="3" a="1"/>
  <c r="W163" i="1" a="1"/>
  <c r="Z92" i="1" a="1"/>
  <c r="AA122" i="3" a="1"/>
  <c r="AA215" i="3" a="1"/>
  <c r="X107" i="1" a="1"/>
  <c r="X145" i="3" a="1"/>
  <c r="Z137" i="1" a="1"/>
  <c r="X139" i="1" a="1"/>
  <c r="W89" i="3" a="1"/>
  <c r="Z48" i="1" a="1"/>
  <c r="Z98" i="3" a="1"/>
  <c r="AA197" i="3" a="1"/>
  <c r="AA133" i="3" a="1"/>
  <c r="AA143" i="1" a="1"/>
  <c r="X36" i="1" a="1"/>
  <c r="X87" i="3" a="1"/>
  <c r="Z90" i="1" a="1"/>
  <c r="Z109" i="3" a="1"/>
  <c r="Z190" i="1" a="1"/>
  <c r="Z129" i="1" a="1"/>
  <c r="AA48" i="3" a="1"/>
  <c r="X15" i="3" a="1"/>
  <c r="AA105" i="1" a="1"/>
  <c r="W73" i="1" a="1"/>
  <c r="Z4" i="1" a="1"/>
  <c r="X111" i="3" a="1"/>
  <c r="AA114" i="1" a="1"/>
  <c r="AA106" i="3" a="1"/>
  <c r="W35" i="3" a="1"/>
  <c r="Z202" i="3" a="1"/>
  <c r="AA205" i="3" a="1"/>
  <c r="W38" i="1" a="1"/>
  <c r="Z6" i="1" a="1"/>
  <c r="AA21" i="1" a="1"/>
  <c r="W131" i="3" a="1"/>
  <c r="X7" i="3" a="1"/>
  <c r="W140" i="1" a="1"/>
  <c r="AA119" i="1" a="1"/>
  <c r="Z215" i="3" a="1"/>
  <c r="W33" i="3" a="1"/>
  <c r="Z60" i="3" a="1"/>
  <c r="W105" i="3" a="1"/>
  <c r="AA54" i="1" a="1"/>
  <c r="AA70" i="3" a="1"/>
  <c r="Z50" i="1" a="1"/>
  <c r="Z123" i="3" a="1"/>
  <c r="X162" i="3" a="1"/>
  <c r="Z212" i="3" a="1"/>
  <c r="AA96" i="3" a="1"/>
  <c r="AA9" i="3" a="1"/>
  <c r="W107" i="3" a="1"/>
  <c r="Z201" i="3" a="1"/>
  <c r="Z5" i="1" a="1"/>
  <c r="Z29" i="1" a="1"/>
  <c r="X27" i="3" a="1"/>
  <c r="X135" i="1" a="1"/>
  <c r="Z21" i="1" a="1"/>
  <c r="Z103" i="1" a="1"/>
  <c r="X116" i="1" a="1"/>
  <c r="W153" i="3" a="1"/>
  <c r="AA193" i="3" a="1"/>
  <c r="AA25" i="1" a="1"/>
  <c r="Z18" i="1" a="1"/>
  <c r="W114" i="1" a="1"/>
  <c r="Z112" i="3" a="1"/>
  <c r="AA139" i="1" a="1"/>
  <c r="Z73" i="1" a="1"/>
  <c r="X4" i="1" a="1"/>
  <c r="W147" i="3" a="1"/>
  <c r="X42" i="3" a="1"/>
  <c r="AA206" i="3" a="1"/>
  <c r="Z54" i="1" a="1"/>
  <c r="W168" i="3" a="1"/>
  <c r="X114" i="3" a="1"/>
  <c r="AA200" i="1" a="1"/>
  <c r="AA53" i="3" a="1"/>
  <c r="Z34" i="3" a="1"/>
  <c r="AA169" i="1" a="1"/>
  <c r="Z17" i="3" a="1"/>
  <c r="AA3" i="3" a="1"/>
  <c r="X36" i="3" a="1"/>
  <c r="AA94" i="3" a="1"/>
  <c r="W74" i="3" a="1"/>
  <c r="Z63" i="1" a="1"/>
  <c r="W46" i="1" a="1"/>
  <c r="Z148" i="1" a="1"/>
  <c r="AA174" i="3" a="1"/>
  <c r="Z15" i="1" a="1"/>
  <c r="W137" i="1" a="1"/>
  <c r="AA166" i="1" a="1"/>
  <c r="X38" i="1" a="1"/>
  <c r="W97" i="1" a="1"/>
  <c r="W47" i="3" a="1"/>
  <c r="W14" i="3" a="1"/>
  <c r="X149" i="1" a="1"/>
  <c r="AA189" i="3" a="1"/>
  <c r="AA179" i="3" a="1"/>
  <c r="X52" i="1" a="1"/>
  <c r="X63" i="3" a="1"/>
  <c r="Z32" i="3" a="1"/>
  <c r="AA164" i="1" a="1"/>
  <c r="X12" i="1" a="1"/>
  <c r="AA56" i="3" a="1"/>
  <c r="AA98" i="1" a="1"/>
  <c r="Z157" i="1" a="1"/>
  <c r="W69" i="3" a="1"/>
  <c r="W34" i="3" a="1"/>
  <c r="AA21" i="3" a="1"/>
  <c r="X9" i="1" a="1"/>
  <c r="AA177" i="3" a="1"/>
  <c r="W78" i="3" a="1"/>
  <c r="Z169" i="3" a="1"/>
  <c r="X46" i="1" a="1"/>
  <c r="X151" i="1" a="1"/>
  <c r="X40" i="3" a="1"/>
  <c r="AA82" i="3" a="1"/>
  <c r="Z3" i="1" a="1"/>
  <c r="W144" i="3" a="1"/>
  <c r="X98" i="1" a="1"/>
  <c r="X125" i="3" a="1"/>
  <c r="AA58" i="3" a="1"/>
  <c r="AA201" i="3" a="1"/>
  <c r="X79" i="1" a="1"/>
  <c r="Z142" i="3" a="1"/>
  <c r="X31" i="3" a="1"/>
  <c r="AA128" i="3" a="1"/>
  <c r="AA126" i="1" a="1"/>
  <c r="AA126" i="3" a="1"/>
  <c r="W63" i="1" a="1"/>
  <c r="AA29" i="1" a="1"/>
  <c r="X138" i="3" a="1"/>
  <c r="W125" i="1" a="1"/>
  <c r="AA158" i="3" a="1"/>
  <c r="AA127" i="3" a="1"/>
  <c r="AA164" i="3" a="1"/>
  <c r="X89" i="1" a="1"/>
  <c r="AA162" i="1" a="1"/>
  <c r="Z16" i="1" a="1"/>
  <c r="Z107" i="1" a="1"/>
  <c r="Z152" i="3" a="1"/>
  <c r="X98" i="3" a="1"/>
  <c r="AA186" i="1" a="1"/>
  <c r="Z175" i="3" a="1"/>
  <c r="Z34" i="1" a="1"/>
  <c r="W83" i="1" a="1"/>
  <c r="X103" i="1" a="1"/>
  <c r="AA95" i="3" a="1"/>
  <c r="AA43" i="1" a="1"/>
  <c r="W147" i="1" a="1"/>
  <c r="Z166" i="1" a="1"/>
  <c r="W161" i="3" a="1"/>
  <c r="AA135" i="3" a="1"/>
  <c r="Z14" i="3" a="1"/>
  <c r="AA123" i="3" a="1"/>
  <c r="Z133" i="3" a="1"/>
  <c r="W86" i="1" a="1"/>
  <c r="Z158" i="1" a="1"/>
  <c r="X45" i="3" a="1"/>
  <c r="AA87" i="3" a="1"/>
  <c r="Z216" i="1" a="1"/>
  <c r="W129" i="1" a="1"/>
  <c r="X109" i="3" a="1"/>
  <c r="W131" i="1" a="1"/>
  <c r="X146" i="1" a="1"/>
  <c r="AA27" i="3" a="1"/>
  <c r="X114" i="1" a="1"/>
  <c r="Z69" i="1" a="1"/>
  <c r="AA7" i="1" a="1"/>
  <c r="Z135" i="3" a="1"/>
  <c r="AA51" i="3" a="1"/>
  <c r="AA42" i="1" a="1"/>
  <c r="AA154" i="1" a="1"/>
  <c r="Z67" i="3" a="1"/>
  <c r="Z59" i="1" a="1"/>
  <c r="AA73" i="1" a="1"/>
  <c r="AA165" i="1" a="1"/>
  <c r="Z225" i="3" a="1"/>
  <c r="Z161" i="3" a="1"/>
  <c r="W50" i="1" a="1"/>
  <c r="AA146" i="1" a="1"/>
  <c r="AA33" i="3" a="1"/>
  <c r="Z25" i="1" a="1"/>
  <c r="X99" i="3" a="1"/>
  <c r="AA148" i="3" a="1"/>
  <c r="X79" i="3" a="1"/>
  <c r="W95" i="3" a="1"/>
  <c r="AA132" i="3" a="1"/>
  <c r="AA111" i="1" a="1"/>
  <c r="Z120" i="1" a="1"/>
  <c r="AA77" i="3" a="1"/>
  <c r="W9" i="1" a="1"/>
  <c r="AA26" i="1" a="1"/>
  <c r="W112" i="1" a="1"/>
  <c r="AA10" i="3" a="1"/>
  <c r="X3" i="3" a="1"/>
  <c r="AA37" i="3" a="1"/>
  <c r="X141" i="1" a="1"/>
  <c r="AA39" i="1" a="1"/>
  <c r="X56" i="3" a="1"/>
  <c r="W97" i="3" a="1"/>
  <c r="Z151" i="1" a="1"/>
  <c r="W115" i="1" a="1"/>
  <c r="X164" i="3" a="1"/>
  <c r="Z156" i="3" a="1"/>
  <c r="Z150" i="1" a="1"/>
  <c r="Z151" i="3" a="1"/>
  <c r="Z221" i="3" a="1"/>
  <c r="X135" i="3" a="1"/>
  <c r="X150" i="1" a="1"/>
  <c r="Z218" i="3" a="1"/>
  <c r="X78" i="1" a="1"/>
  <c r="X68" i="1" a="1"/>
  <c r="W88" i="3" a="1"/>
  <c r="W38" i="3" a="1"/>
  <c r="Z6" i="3" a="1"/>
  <c r="AA15" i="3" a="1"/>
  <c r="Z122" i="3" a="1"/>
  <c r="X132" i="1" a="1"/>
  <c r="Z83" i="1" a="1"/>
  <c r="AA106" i="1" a="1"/>
  <c r="W115" i="3" a="1"/>
  <c r="X14" i="3" a="1"/>
  <c r="X165" i="3" a="1"/>
  <c r="AA185" i="3" a="1"/>
  <c r="W133" i="3" a="1"/>
  <c r="Z43" i="3" a="1"/>
  <c r="Z191" i="1" a="1"/>
  <c r="W37" i="3" a="1"/>
  <c r="AA97" i="3" a="1"/>
  <c r="Z168" i="1" a="1"/>
  <c r="Z78" i="3" a="1"/>
  <c r="X104" i="1" a="1"/>
  <c r="X86" i="3" a="1"/>
  <c r="Z47" i="1" a="1"/>
  <c r="X161" i="1" a="1"/>
  <c r="Z44" i="1" a="1"/>
  <c r="Z155" i="1" a="1"/>
  <c r="W154" i="3" a="1"/>
  <c r="X103" i="3" a="1"/>
  <c r="W66" i="3" a="1"/>
  <c r="X91" i="3" a="1"/>
  <c r="AA76" i="3" a="1"/>
  <c r="Z49" i="1" a="1"/>
  <c r="W168" i="1" a="1"/>
  <c r="Z138" i="1" a="1"/>
  <c r="Z89" i="3" a="1"/>
  <c r="X50" i="3" a="1"/>
  <c r="Z136" i="1" a="1"/>
  <c r="Z196" i="1" a="1"/>
  <c r="X156" i="3" a="1"/>
  <c r="Z194" i="3" a="1"/>
  <c r="Z208" i="1" a="1"/>
  <c r="AA127" i="1" a="1"/>
  <c r="X80" i="3" a="1"/>
  <c r="Z7" i="3" a="1"/>
  <c r="X43" i="1" a="1"/>
  <c r="AA79" i="3" a="1"/>
  <c r="W155" i="3" a="1"/>
  <c r="AA118" i="1" a="1"/>
  <c r="X142" i="3" a="1"/>
  <c r="AA86" i="3" a="1"/>
  <c r="AA13" i="1" a="1"/>
  <c r="AA62" i="3" a="1"/>
  <c r="Z149" i="1" a="1"/>
  <c r="Z170" i="3" a="1"/>
  <c r="X160" i="1" a="1"/>
  <c r="X19" i="3" a="1"/>
  <c r="AA99" i="3" a="1"/>
  <c r="W101" i="1" a="1"/>
  <c r="AA62" i="1" a="1"/>
  <c r="AA159" i="1" a="1"/>
  <c r="W7" i="1" a="1"/>
  <c r="Z55" i="3" a="1"/>
  <c r="Z188" i="1" a="1"/>
  <c r="W35" i="1" a="1"/>
  <c r="AA55" i="3" a="1"/>
  <c r="W166" i="1" a="1"/>
  <c r="Z84" i="1" a="1"/>
  <c r="Z66" i="1" a="1"/>
  <c r="W102" i="1" a="1"/>
  <c r="AA221" i="1" a="1"/>
  <c r="W58" i="1" a="1"/>
  <c r="Z206" i="3" a="1"/>
  <c r="AA30" i="3" a="1"/>
  <c r="W141" i="1" a="1"/>
  <c r="Z68" i="1" a="1"/>
  <c r="AA214" i="3" a="1"/>
  <c r="AA24" i="1" a="1"/>
  <c r="Z217" i="1" a="1"/>
  <c r="W31" i="3" a="1"/>
  <c r="AA173" i="3" a="1"/>
  <c r="W111" i="3" a="1"/>
  <c r="Z80" i="1" a="1"/>
  <c r="W89" i="1" a="1"/>
  <c r="AA129" i="3" a="1"/>
  <c r="X158" i="3" a="1"/>
  <c r="Z208" i="3" a="1"/>
  <c r="X108" i="3" a="1"/>
  <c r="Z65" i="3" a="1"/>
  <c r="Z191" i="3" a="1"/>
  <c r="Z76" i="1" a="1"/>
  <c r="Z84" i="3" a="1"/>
  <c r="AA152" i="1" a="1"/>
  <c r="Z187" i="3" a="1"/>
  <c r="Z118" i="1" a="1"/>
  <c r="X117" i="3" a="1"/>
  <c r="X70" i="3" a="1"/>
  <c r="Z189" i="3" a="1"/>
  <c r="X106" i="3" a="1"/>
  <c r="AA147" i="1" a="1"/>
  <c r="AA183" i="1" a="1"/>
  <c r="Z32" i="1" a="1"/>
  <c r="AA47" i="3" a="1"/>
  <c r="Z24" i="1" a="1"/>
  <c r="Z109" i="1" a="1"/>
  <c r="X128" i="3" a="1"/>
  <c r="W70" i="3" a="1"/>
  <c r="Z64" i="3" a="1"/>
  <c r="W98" i="1" a="1"/>
  <c r="W84" i="3" a="1"/>
  <c r="Z35" i="3" a="1"/>
  <c r="X61" i="3" a="1"/>
  <c r="AA142" i="1" a="1"/>
  <c r="W120" i="1" a="1"/>
  <c r="W151" i="3" a="1"/>
  <c r="AA141" i="1" a="1"/>
  <c r="AA147" i="3" a="1"/>
  <c r="X169" i="3" a="1"/>
  <c r="Z122" i="1" a="1"/>
  <c r="AA138" i="1" a="1"/>
  <c r="Z31" i="1" a="1"/>
  <c r="X152" i="3" a="1"/>
  <c r="X27" i="1" a="1"/>
  <c r="AA42" i="3" a="1"/>
  <c r="AA116" i="1" a="1"/>
  <c r="Z143" i="3" a="1"/>
  <c r="AA167" i="3" a="1"/>
  <c r="X18" i="1" a="1"/>
  <c r="W69" i="1" a="1"/>
  <c r="Z180" i="3" a="1"/>
  <c r="W157" i="3" a="1"/>
  <c r="Z30" i="3" a="1"/>
  <c r="AA23" i="1" a="1"/>
  <c r="Z110" i="1" a="1"/>
  <c r="Z111" i="3" a="1"/>
  <c r="W48" i="3" a="1"/>
  <c r="X48" i="1" a="1"/>
  <c r="AA46" i="3" a="1"/>
  <c r="Z73" i="3" a="1"/>
  <c r="Z126" i="3" a="1"/>
  <c r="Z103" i="3" a="1"/>
  <c r="AA110" i="3" a="1"/>
  <c r="Z43" i="1" a="1"/>
  <c r="X59" i="3" a="1"/>
  <c r="AA223" i="1" a="1"/>
  <c r="W39" i="1" a="1"/>
  <c r="W111" i="1" a="1"/>
  <c r="W151" i="1" a="1"/>
  <c r="X143" i="1" a="1"/>
  <c r="AA131" i="1" a="1"/>
  <c r="Z219" i="1" a="1"/>
  <c r="Z125" i="1" a="1"/>
  <c r="X51" i="1" a="1"/>
  <c r="X44" i="3" a="1"/>
  <c r="Z205" i="1" a="1"/>
  <c r="Z108" i="1" a="1"/>
  <c r="AA153" i="1" a="1"/>
  <c r="X104" i="3" a="1"/>
  <c r="Z225" i="1" a="1"/>
  <c r="AA19" i="1" a="1"/>
  <c r="Z172" i="3" a="1"/>
  <c r="X39" i="3" a="1"/>
  <c r="X124" i="1" a="1"/>
  <c r="Z21" i="3" a="1"/>
  <c r="Z97" i="1" a="1"/>
  <c r="AA227" i="3" a="1"/>
  <c r="AA14" i="1" a="1"/>
  <c r="Z192" i="3" a="1"/>
  <c r="X94" i="3" a="1"/>
  <c r="Z182" i="1" a="1"/>
  <c r="Z133" i="1" a="1"/>
  <c r="W119" i="1" a="1"/>
  <c r="X29" i="1" a="1"/>
  <c r="Z72" i="3" a="1"/>
  <c r="X30" i="1" a="1"/>
  <c r="W57" i="1" a="1"/>
  <c r="Z71" i="3" a="1"/>
  <c r="Z165" i="3" a="1"/>
  <c r="AA9" i="1" a="1"/>
  <c r="W91" i="1" a="1"/>
  <c r="Z167" i="3" a="1"/>
  <c r="Z65" i="1" a="1"/>
  <c r="X59" i="1" a="1"/>
  <c r="AA215" i="1" a="1"/>
  <c r="Z197" i="1" a="1"/>
  <c r="X69" i="3" a="1"/>
  <c r="AA37" i="1" a="1"/>
  <c r="AA223" i="3" a="1"/>
  <c r="Z198" i="1" a="1"/>
  <c r="AA132" i="1" a="1"/>
  <c r="X16" i="1" a="1"/>
  <c r="AA216" i="1" a="1"/>
  <c r="Z89" i="1" a="1"/>
  <c r="X56" i="1" a="1"/>
  <c r="AA123" i="1" a="1"/>
  <c r="W36" i="1" a="1"/>
  <c r="AA196" i="3" a="1"/>
  <c r="AA165" i="3" a="1"/>
  <c r="AA44" i="3" a="1"/>
  <c r="Z154" i="3" a="1"/>
  <c r="X100" i="3" a="1"/>
  <c r="X119" i="1" a="1"/>
  <c r="AA136" i="3" a="1"/>
  <c r="Z104" i="1" a="1"/>
  <c r="AA16" i="3" a="1"/>
  <c r="Z38" i="3" a="1"/>
  <c r="AA203" i="3" a="1"/>
  <c r="X10" i="1" a="1"/>
  <c r="AA117" i="3" a="1"/>
  <c r="Z49" i="3" a="1"/>
  <c r="AA89" i="1" a="1"/>
  <c r="AA89" i="1" l="1"/>
  <c r="Z49" i="3"/>
  <c r="AA117" i="3"/>
  <c r="X10" i="1"/>
  <c r="AA203" i="3"/>
  <c r="Z38" i="3"/>
  <c r="AA16" i="3"/>
  <c r="Z104" i="1"/>
  <c r="AA136" i="3"/>
  <c r="X119" i="1"/>
  <c r="X100" i="3"/>
  <c r="Z154" i="3"/>
  <c r="AA44" i="3"/>
  <c r="AA165" i="3"/>
  <c r="AA196" i="3"/>
  <c r="W36" i="1"/>
  <c r="AA123" i="1"/>
  <c r="X56" i="1"/>
  <c r="Z89" i="1"/>
  <c r="AA216" i="1"/>
  <c r="X16" i="1"/>
  <c r="AA132" i="1"/>
  <c r="Z198" i="1"/>
  <c r="AA223" i="3"/>
  <c r="AA37" i="1"/>
  <c r="X69" i="3"/>
  <c r="Z197" i="1"/>
  <c r="AA215" i="1"/>
  <c r="X59" i="1"/>
  <c r="Z65" i="1"/>
  <c r="Z167" i="3"/>
  <c r="W91" i="1"/>
  <c r="AA9" i="1"/>
  <c r="Z165" i="3"/>
  <c r="Z71" i="3"/>
  <c r="W57" i="1"/>
  <c r="X30" i="1"/>
  <c r="Z72" i="3"/>
  <c r="X29" i="1"/>
  <c r="W119" i="1"/>
  <c r="Z133" i="1"/>
  <c r="Z182" i="1"/>
  <c r="X94" i="3"/>
  <c r="Z192" i="3"/>
  <c r="AA14" i="1"/>
  <c r="AA227" i="3"/>
  <c r="Z97" i="1"/>
  <c r="Z21" i="3"/>
  <c r="X124" i="1"/>
  <c r="X39" i="3"/>
  <c r="Z172" i="3"/>
  <c r="AA19" i="1"/>
  <c r="Z225" i="1"/>
  <c r="X104" i="3"/>
  <c r="AA153" i="1"/>
  <c r="Z108" i="1"/>
  <c r="Z205" i="1"/>
  <c r="X44" i="3"/>
  <c r="X51" i="1"/>
  <c r="Z125" i="1"/>
  <c r="Z219" i="1"/>
  <c r="AA131" i="1"/>
  <c r="X143" i="1"/>
  <c r="W151" i="1"/>
  <c r="W111" i="1"/>
  <c r="W39" i="1"/>
  <c r="AA223" i="1"/>
  <c r="X59" i="3"/>
  <c r="Z43" i="1"/>
  <c r="AA110" i="3"/>
  <c r="Z103" i="3"/>
  <c r="Z126" i="3"/>
  <c r="Z73" i="3"/>
  <c r="AA46" i="3"/>
  <c r="X48" i="1"/>
  <c r="W48" i="3"/>
  <c r="Z111" i="3"/>
  <c r="Z110" i="1"/>
  <c r="AA23" i="1"/>
  <c r="Z30" i="3"/>
  <c r="W157" i="3"/>
  <c r="Z180" i="3"/>
  <c r="W69" i="1"/>
  <c r="X18" i="1"/>
  <c r="AA167" i="3"/>
  <c r="Z143" i="3"/>
  <c r="AA116" i="1"/>
  <c r="AA42" i="3"/>
  <c r="X27" i="1"/>
  <c r="X152" i="3"/>
  <c r="Z31" i="1"/>
  <c r="AA138" i="1"/>
  <c r="Z122" i="1"/>
  <c r="X169" i="3"/>
  <c r="AA147" i="3"/>
  <c r="AA141" i="1"/>
  <c r="W151" i="3"/>
  <c r="W120" i="1"/>
  <c r="AA142" i="1"/>
  <c r="X61" i="3"/>
  <c r="Z35" i="3"/>
  <c r="W84" i="3"/>
  <c r="W98" i="1"/>
  <c r="Z64" i="3"/>
  <c r="W70" i="3"/>
  <c r="X128" i="3"/>
  <c r="Z109" i="1"/>
  <c r="Z24" i="1"/>
  <c r="AA47" i="3"/>
  <c r="Z32" i="1"/>
  <c r="AA183" i="1"/>
  <c r="AA147" i="1"/>
  <c r="X106" i="3"/>
  <c r="Z189" i="3"/>
  <c r="X70" i="3"/>
  <c r="X117" i="3"/>
  <c r="Z118" i="1"/>
  <c r="Z187" i="3"/>
  <c r="AA152" i="1"/>
  <c r="Z84" i="3"/>
  <c r="Z76" i="1"/>
  <c r="Z191" i="3"/>
  <c r="Z65" i="3"/>
  <c r="X108" i="3"/>
  <c r="Z208" i="3"/>
  <c r="X158" i="3"/>
  <c r="AA129" i="3"/>
  <c r="W89" i="1"/>
  <c r="Z80" i="1"/>
  <c r="W111" i="3"/>
  <c r="AA173" i="3"/>
  <c r="W31" i="3"/>
  <c r="Z217" i="1"/>
  <c r="AA24" i="1"/>
  <c r="AA214" i="3"/>
  <c r="Z68" i="1"/>
  <c r="W141" i="1"/>
  <c r="AA30" i="3"/>
  <c r="Z206" i="3"/>
  <c r="W58" i="1"/>
  <c r="AA221" i="1"/>
  <c r="W102" i="1"/>
  <c r="Z66" i="1"/>
  <c r="Z84" i="1"/>
  <c r="W166" i="1"/>
  <c r="AA55" i="3"/>
  <c r="W35" i="1"/>
  <c r="Z188" i="1"/>
  <c r="Z55" i="3"/>
  <c r="W7" i="1"/>
  <c r="AA159" i="1"/>
  <c r="AA62" i="1"/>
  <c r="W101" i="1"/>
  <c r="AA99" i="3"/>
  <c r="X19" i="3"/>
  <c r="X160" i="1"/>
  <c r="Z170" i="3"/>
  <c r="Z149" i="1"/>
  <c r="AA62" i="3"/>
  <c r="AA13" i="1"/>
  <c r="AA86" i="3"/>
  <c r="X142" i="3"/>
  <c r="AA118" i="1"/>
  <c r="W155" i="3"/>
  <c r="AA79" i="3"/>
  <c r="X43" i="1"/>
  <c r="Z7" i="3"/>
  <c r="X80" i="3"/>
  <c r="AA127" i="1"/>
  <c r="Z208" i="1"/>
  <c r="Z194" i="3"/>
  <c r="X156" i="3"/>
  <c r="Z196" i="1"/>
  <c r="Z136" i="1"/>
  <c r="X50" i="3"/>
  <c r="Z89" i="3"/>
  <c r="Z138" i="1"/>
  <c r="W168" i="1"/>
  <c r="Z49" i="1"/>
  <c r="AA76" i="3"/>
  <c r="X91" i="3"/>
  <c r="W66" i="3"/>
  <c r="X103" i="3"/>
  <c r="W154" i="3"/>
  <c r="Z155" i="1"/>
  <c r="Z44" i="1"/>
  <c r="X161" i="1"/>
  <c r="Z47" i="1"/>
  <c r="X86" i="3"/>
  <c r="X104" i="1"/>
  <c r="Z78" i="3"/>
  <c r="Z168" i="1"/>
  <c r="AA97" i="3"/>
  <c r="W37" i="3"/>
  <c r="Z191" i="1"/>
  <c r="Z43" i="3"/>
  <c r="W133" i="3"/>
  <c r="AA185" i="3"/>
  <c r="X165" i="3"/>
  <c r="X14" i="3"/>
  <c r="W115" i="3"/>
  <c r="AA106" i="1"/>
  <c r="Z83" i="1"/>
  <c r="X132" i="1"/>
  <c r="Z122" i="3"/>
  <c r="AA15" i="3"/>
  <c r="Z6" i="3"/>
  <c r="W38" i="3"/>
  <c r="W88" i="3"/>
  <c r="X68" i="1"/>
  <c r="X78" i="1"/>
  <c r="Z218" i="3"/>
  <c r="X150" i="1"/>
  <c r="X135" i="3"/>
  <c r="Z221" i="3"/>
  <c r="Z151" i="3"/>
  <c r="Z150" i="1"/>
  <c r="Z156" i="3"/>
  <c r="X164" i="3"/>
  <c r="W115" i="1"/>
  <c r="Z151" i="1"/>
  <c r="W97" i="3"/>
  <c r="X56" i="3"/>
  <c r="AA39" i="1"/>
  <c r="X141" i="1"/>
  <c r="AA37" i="3"/>
  <c r="X3" i="3"/>
  <c r="AA10" i="3"/>
  <c r="W112" i="1"/>
  <c r="AA26" i="1"/>
  <c r="W9" i="1"/>
  <c r="AA77" i="3"/>
  <c r="Z120" i="1"/>
  <c r="AA111" i="1"/>
  <c r="AA132" i="3"/>
  <c r="W95" i="3"/>
  <c r="X79" i="3"/>
  <c r="AA148" i="3"/>
  <c r="X99" i="3"/>
  <c r="Z25" i="1"/>
  <c r="AA33" i="3"/>
  <c r="AA146" i="1"/>
  <c r="W50" i="1"/>
  <c r="Z161" i="3"/>
  <c r="Z225" i="3"/>
  <c r="AA165" i="1"/>
  <c r="AA73" i="1"/>
  <c r="Z59" i="1"/>
  <c r="Z67" i="3"/>
  <c r="AA154" i="1"/>
  <c r="AA42" i="1"/>
  <c r="AA51" i="3"/>
  <c r="Z135" i="3"/>
  <c r="AA7" i="1"/>
  <c r="Z69" i="1"/>
  <c r="X114" i="1"/>
  <c r="AA27" i="3"/>
  <c r="X146" i="1"/>
  <c r="W131" i="1"/>
  <c r="X109" i="3"/>
  <c r="W129" i="1"/>
  <c r="Z216" i="1"/>
  <c r="AA87" i="3"/>
  <c r="X45" i="3"/>
  <c r="Z158" i="1"/>
  <c r="W86" i="1"/>
  <c r="Z133" i="3"/>
  <c r="AA123" i="3"/>
  <c r="Z14" i="3"/>
  <c r="AA135" i="3"/>
  <c r="W161" i="3"/>
  <c r="Z166" i="1"/>
  <c r="W147" i="1"/>
  <c r="AA43" i="1"/>
  <c r="AA95" i="3"/>
  <c r="X103" i="1"/>
  <c r="W83" i="1"/>
  <c r="Z34" i="1"/>
  <c r="Z175" i="3"/>
  <c r="AA186" i="1"/>
  <c r="X98" i="3"/>
  <c r="Z152" i="3"/>
  <c r="Z107" i="1"/>
  <c r="Z16" i="1"/>
  <c r="AA162" i="1"/>
  <c r="X89" i="1"/>
  <c r="AA164" i="3"/>
  <c r="AA127" i="3"/>
  <c r="AA158" i="3"/>
  <c r="W125" i="1"/>
  <c r="X138" i="3"/>
  <c r="AA29" i="1"/>
  <c r="W63" i="1"/>
  <c r="AA126" i="3"/>
  <c r="AA126" i="1"/>
  <c r="AA128" i="3"/>
  <c r="X31" i="3"/>
  <c r="Z142" i="3"/>
  <c r="X79" i="1"/>
  <c r="AA201" i="3"/>
  <c r="AA58" i="3"/>
  <c r="X125" i="3"/>
  <c r="X98" i="1"/>
  <c r="W144" i="3"/>
  <c r="Z3" i="1"/>
  <c r="AA82" i="3"/>
  <c r="X40" i="3"/>
  <c r="X151" i="1"/>
  <c r="X46" i="1"/>
  <c r="Z169" i="3"/>
  <c r="W78" i="3"/>
  <c r="AA177" i="3"/>
  <c r="X9" i="1"/>
  <c r="AA21" i="3"/>
  <c r="W34" i="3"/>
  <c r="W69" i="3"/>
  <c r="Z157" i="1"/>
  <c r="AA98" i="1"/>
  <c r="AA56" i="3"/>
  <c r="X12" i="1"/>
  <c r="AA164" i="1"/>
  <c r="Z32" i="3"/>
  <c r="X63" i="3"/>
  <c r="X52" i="1"/>
  <c r="AA179" i="3"/>
  <c r="AA189" i="3"/>
  <c r="X149" i="1"/>
  <c r="W14" i="3"/>
  <c r="W47" i="3"/>
  <c r="W97" i="1"/>
  <c r="X38" i="1"/>
  <c r="AA166" i="1"/>
  <c r="W137" i="1"/>
  <c r="Z15" i="1"/>
  <c r="AA174" i="3"/>
  <c r="Z148" i="1"/>
  <c r="W46" i="1"/>
  <c r="Z63" i="1"/>
  <c r="W74" i="3"/>
  <c r="AA94" i="3"/>
  <c r="X36" i="3"/>
  <c r="AA3" i="3"/>
  <c r="Z17" i="3"/>
  <c r="AA169" i="1"/>
  <c r="Z34" i="3"/>
  <c r="AA53" i="3"/>
  <c r="AA200" i="1"/>
  <c r="X114" i="3"/>
  <c r="W168" i="3"/>
  <c r="Z54" i="1"/>
  <c r="AA206" i="3"/>
  <c r="X42" i="3"/>
  <c r="W147" i="3"/>
  <c r="X4" i="1"/>
  <c r="Z73" i="1"/>
  <c r="AA139" i="1"/>
  <c r="Z112" i="3"/>
  <c r="W114" i="1"/>
  <c r="Z18" i="1"/>
  <c r="AA25" i="1"/>
  <c r="AA193" i="3"/>
  <c r="W153" i="3"/>
  <c r="X116" i="1"/>
  <c r="Z103" i="1"/>
  <c r="Z21" i="1"/>
  <c r="X135" i="1"/>
  <c r="X27" i="3"/>
  <c r="Z29" i="1"/>
  <c r="Z5" i="1"/>
  <c r="Z201" i="3"/>
  <c r="W107" i="3"/>
  <c r="AA9" i="3"/>
  <c r="AA96" i="3"/>
  <c r="Z212" i="3"/>
  <c r="X162" i="3"/>
  <c r="Z123" i="3"/>
  <c r="Z50" i="1"/>
  <c r="AA70" i="3"/>
  <c r="AA54" i="1"/>
  <c r="W105" i="3"/>
  <c r="Z60" i="3"/>
  <c r="W33" i="3"/>
  <c r="Z215" i="3"/>
  <c r="AA119" i="1"/>
  <c r="W140" i="1"/>
  <c r="X7" i="3"/>
  <c r="W131" i="3"/>
  <c r="AA21" i="1"/>
  <c r="Z6" i="1"/>
  <c r="W38" i="1"/>
  <c r="AA205" i="3"/>
  <c r="Z202" i="3"/>
  <c r="W35" i="3"/>
  <c r="AA106" i="3"/>
  <c r="AA114" i="1"/>
  <c r="X111" i="3"/>
  <c r="Z4" i="1"/>
  <c r="W73" i="1"/>
  <c r="AA105" i="1"/>
  <c r="X15" i="3"/>
  <c r="AA48" i="3"/>
  <c r="Z129" i="1"/>
  <c r="Z190" i="1"/>
  <c r="Z109" i="3"/>
  <c r="Z90" i="1"/>
  <c r="X87" i="3"/>
  <c r="X36" i="1"/>
  <c r="AA143" i="1"/>
  <c r="AA133" i="3"/>
  <c r="AA197" i="3"/>
  <c r="Z98" i="3"/>
  <c r="Z48" i="1"/>
  <c r="W89" i="3"/>
  <c r="X139" i="1"/>
  <c r="Z137" i="1"/>
  <c r="X145" i="3"/>
  <c r="X107" i="1"/>
  <c r="AA215" i="3"/>
  <c r="AA122" i="3"/>
  <c r="Z92" i="1"/>
  <c r="W163" i="1"/>
  <c r="Z121" i="3"/>
  <c r="W92" i="1"/>
  <c r="AA180" i="1"/>
  <c r="X25" i="3"/>
  <c r="X17" i="1"/>
  <c r="AA211" i="1"/>
  <c r="AA91" i="3"/>
  <c r="W19" i="3"/>
  <c r="W3" i="3"/>
  <c r="Z58" i="3"/>
  <c r="X44" i="1"/>
  <c r="Z88" i="1"/>
  <c r="Z195" i="1"/>
  <c r="AA92" i="3"/>
  <c r="AA124" i="3"/>
  <c r="X100" i="1"/>
  <c r="AA79" i="1"/>
  <c r="Z82" i="3"/>
  <c r="X65" i="3"/>
  <c r="Z62" i="1"/>
  <c r="Z193" i="3"/>
  <c r="X62" i="3"/>
  <c r="X159" i="1"/>
  <c r="W150" i="1"/>
  <c r="X147" i="1"/>
  <c r="Z117" i="1"/>
  <c r="Z94" i="3"/>
  <c r="Z62" i="3"/>
  <c r="X88" i="1"/>
  <c r="Z96" i="3"/>
  <c r="Z105" i="1"/>
  <c r="AA36" i="1"/>
  <c r="AA47" i="1"/>
  <c r="W94" i="1"/>
  <c r="AA218" i="3"/>
  <c r="AA209" i="3"/>
  <c r="AA19" i="3"/>
  <c r="X11" i="3"/>
  <c r="Z15" i="3"/>
  <c r="W164" i="1"/>
  <c r="W61" i="1"/>
  <c r="W13" i="3"/>
  <c r="W126" i="3"/>
  <c r="Z11" i="1"/>
  <c r="X127" i="1"/>
  <c r="Z169" i="1"/>
  <c r="W127" i="1"/>
  <c r="X118" i="1"/>
  <c r="Z95" i="1"/>
  <c r="AA175" i="3"/>
  <c r="W101" i="3"/>
  <c r="AA204" i="3"/>
  <c r="X107" i="3"/>
  <c r="Z124" i="1"/>
  <c r="X169" i="1"/>
  <c r="AA109" i="3"/>
  <c r="AA32" i="3"/>
  <c r="Z145" i="3"/>
  <c r="X168" i="3"/>
  <c r="AA108" i="3"/>
  <c r="Z199" i="3"/>
  <c r="X138" i="1"/>
  <c r="Z14" i="1"/>
  <c r="Z202" i="1"/>
  <c r="Z128" i="1"/>
  <c r="W24" i="1"/>
  <c r="AA23" i="3"/>
  <c r="AA202" i="1"/>
  <c r="W43" i="3"/>
  <c r="Z19" i="1"/>
  <c r="X166" i="1"/>
  <c r="Z127" i="3"/>
  <c r="Z217" i="3"/>
  <c r="AA32" i="1"/>
  <c r="AA78" i="3"/>
  <c r="X46" i="3"/>
  <c r="AA48" i="1"/>
  <c r="X95" i="1"/>
  <c r="AA72" i="1"/>
  <c r="X14" i="1"/>
  <c r="Z55" i="1"/>
  <c r="W44" i="3"/>
  <c r="W79" i="3"/>
  <c r="X119" i="3"/>
  <c r="Z197" i="3"/>
  <c r="Z227" i="3"/>
  <c r="Z56" i="3"/>
  <c r="AA218" i="1"/>
  <c r="W31" i="1"/>
  <c r="W18" i="3"/>
  <c r="W165" i="3"/>
  <c r="Z144" i="3"/>
  <c r="AA49" i="3"/>
  <c r="W8" i="1"/>
  <c r="W125" i="3"/>
  <c r="AA81" i="3"/>
  <c r="AA152" i="3"/>
  <c r="Z171" i="1"/>
  <c r="AA184" i="3"/>
  <c r="Z181" i="3"/>
  <c r="Z187" i="1"/>
  <c r="AA100" i="1"/>
  <c r="W74" i="1"/>
  <c r="X117" i="1"/>
  <c r="AA36" i="3"/>
  <c r="AA85" i="3"/>
  <c r="W22" i="3"/>
  <c r="X71" i="3"/>
  <c r="AA35" i="1"/>
  <c r="X70" i="1"/>
  <c r="W98" i="3"/>
  <c r="W12" i="3"/>
  <c r="W64" i="1"/>
  <c r="W12" i="1"/>
  <c r="Z104" i="3"/>
  <c r="AA112" i="3"/>
  <c r="X47" i="3"/>
  <c r="W136" i="1"/>
  <c r="Z82" i="1"/>
  <c r="Z20" i="1"/>
  <c r="AA156" i="1"/>
  <c r="X65" i="1"/>
  <c r="Z160" i="1"/>
  <c r="Z210" i="3"/>
  <c r="AA210" i="1"/>
  <c r="X92" i="1"/>
  <c r="X90" i="3"/>
  <c r="W60" i="1"/>
  <c r="AA108" i="1"/>
  <c r="Z86" i="3"/>
  <c r="W10" i="1"/>
  <c r="AA172" i="1"/>
  <c r="Z91" i="3"/>
  <c r="AA31" i="3"/>
  <c r="X32" i="3"/>
  <c r="W8" i="3"/>
  <c r="Z42" i="1"/>
  <c r="AA228" i="1"/>
  <c r="Z80" i="3"/>
  <c r="Z7" i="1"/>
  <c r="X75" i="3"/>
  <c r="Z27" i="3"/>
  <c r="AA115" i="1"/>
  <c r="X124" i="3"/>
  <c r="X21" i="3"/>
  <c r="X129" i="1"/>
  <c r="X28" i="3"/>
  <c r="X49" i="3"/>
  <c r="W34" i="1"/>
  <c r="W52" i="1"/>
  <c r="Z176" i="3"/>
  <c r="W123" i="1"/>
  <c r="W100" i="3"/>
  <c r="Z146" i="3"/>
  <c r="AA219" i="1"/>
  <c r="AA17" i="3"/>
  <c r="X30" i="3"/>
  <c r="AA39" i="3"/>
  <c r="W142" i="1"/>
  <c r="AA51" i="1"/>
  <c r="AA188" i="3"/>
  <c r="AA133" i="1"/>
  <c r="X33" i="1"/>
  <c r="AA182" i="3"/>
  <c r="X5" i="1"/>
  <c r="Z170" i="1"/>
  <c r="X152" i="1"/>
  <c r="X77" i="1"/>
  <c r="X58" i="1"/>
  <c r="AA13" i="3"/>
  <c r="W160" i="1"/>
  <c r="AA185" i="1"/>
  <c r="AA172" i="3"/>
  <c r="AA149" i="1"/>
  <c r="X128" i="1"/>
  <c r="Z159" i="3"/>
  <c r="W59" i="3"/>
  <c r="AA229" i="3"/>
  <c r="X23" i="1"/>
  <c r="AA90" i="1"/>
  <c r="X157" i="1"/>
  <c r="Z177" i="1"/>
  <c r="W59" i="1"/>
  <c r="Z206" i="1"/>
  <c r="W96" i="3"/>
  <c r="Z81" i="3"/>
  <c r="AA64" i="3"/>
  <c r="X67" i="3"/>
  <c r="W42" i="1"/>
  <c r="AA74" i="3"/>
  <c r="Z85" i="1"/>
  <c r="X105" i="3"/>
  <c r="Z165" i="1"/>
  <c r="AA113" i="3"/>
  <c r="Z26" i="3"/>
  <c r="AA213" i="1"/>
  <c r="W76" i="1"/>
  <c r="X31" i="1"/>
  <c r="X42" i="1"/>
  <c r="AA222" i="1"/>
  <c r="X110" i="3"/>
  <c r="AA89" i="3"/>
  <c r="AA125" i="1"/>
  <c r="Z131" i="3"/>
  <c r="Z139" i="1"/>
  <c r="X52" i="3"/>
  <c r="X57" i="3"/>
  <c r="W45" i="3"/>
  <c r="Z157" i="3"/>
  <c r="W159" i="3"/>
  <c r="X105" i="1"/>
  <c r="W145" i="3"/>
  <c r="W4" i="3"/>
  <c r="X83" i="3"/>
  <c r="Z50" i="3"/>
  <c r="Z147" i="3"/>
  <c r="X20" i="1"/>
  <c r="W43" i="1"/>
  <c r="AA131" i="3"/>
  <c r="AA45" i="3"/>
  <c r="AA174" i="1"/>
  <c r="Z48" i="3"/>
  <c r="Z230" i="1"/>
  <c r="W121" i="3"/>
  <c r="AA150" i="1"/>
  <c r="X66" i="1"/>
  <c r="W127" i="3"/>
  <c r="X62" i="1"/>
  <c r="AA140" i="1"/>
  <c r="W143" i="1"/>
  <c r="W49" i="1"/>
  <c r="AA171" i="3"/>
  <c r="X12" i="3"/>
  <c r="AA138" i="3"/>
  <c r="AA4" i="3"/>
  <c r="W95" i="1"/>
  <c r="Z61" i="1"/>
  <c r="AA222" i="3"/>
  <c r="AA156" i="3"/>
  <c r="X137" i="3"/>
  <c r="W40" i="1"/>
  <c r="Z175" i="1"/>
  <c r="W138" i="3"/>
  <c r="Z75" i="1"/>
  <c r="Z52" i="1"/>
  <c r="W71" i="3"/>
  <c r="X118" i="3"/>
  <c r="AA10" i="1"/>
  <c r="Z9" i="1"/>
  <c r="Z90" i="3"/>
  <c r="W29" i="1"/>
  <c r="X156" i="1"/>
  <c r="Z207" i="3"/>
  <c r="X61" i="1"/>
  <c r="X153" i="3"/>
  <c r="AA161" i="3"/>
  <c r="Z140" i="3"/>
  <c r="Z163" i="3"/>
  <c r="W148" i="1"/>
  <c r="W16" i="3"/>
  <c r="Z110" i="3"/>
  <c r="AA67" i="3"/>
  <c r="Z53" i="3"/>
  <c r="X4" i="3"/>
  <c r="Z112" i="1"/>
  <c r="W41" i="3"/>
  <c r="AA8" i="1"/>
  <c r="AA171" i="1"/>
  <c r="AA66" i="3"/>
  <c r="W26" i="1"/>
  <c r="AA112" i="1"/>
  <c r="X109" i="1"/>
  <c r="W136" i="3"/>
  <c r="Z19" i="3"/>
  <c r="AA18" i="3"/>
  <c r="AA149" i="3"/>
  <c r="Z113" i="3"/>
  <c r="W117" i="3"/>
  <c r="AA66" i="1"/>
  <c r="W144" i="1"/>
  <c r="W114" i="3"/>
  <c r="W80" i="1"/>
  <c r="Z123" i="1"/>
  <c r="AA101" i="1"/>
  <c r="AA162" i="3"/>
  <c r="W25" i="3"/>
  <c r="X90" i="1"/>
  <c r="W5" i="3"/>
  <c r="AA86" i="1"/>
  <c r="AA157" i="3"/>
  <c r="Z105" i="3"/>
  <c r="Z46" i="1"/>
  <c r="Z12" i="3"/>
  <c r="X148" i="3"/>
  <c r="W103" i="1"/>
  <c r="Z164" i="3"/>
  <c r="X91" i="1"/>
  <c r="AA115" i="3"/>
  <c r="Z77" i="3"/>
  <c r="W154" i="1"/>
  <c r="X68" i="3"/>
  <c r="Z18" i="3"/>
  <c r="X64" i="3"/>
  <c r="AA163" i="3"/>
  <c r="AA200" i="3"/>
  <c r="W32" i="3"/>
  <c r="X85" i="1"/>
  <c r="W96" i="1"/>
  <c r="W67" i="1"/>
  <c r="AA40" i="1"/>
  <c r="W21" i="3"/>
  <c r="AA130" i="1"/>
  <c r="W122" i="1"/>
  <c r="X17" i="3"/>
  <c r="AA31" i="1"/>
  <c r="W106" i="3"/>
  <c r="Z223" i="1"/>
  <c r="Z186" i="3"/>
  <c r="X161" i="3"/>
  <c r="W137" i="3"/>
  <c r="Z152" i="1"/>
  <c r="X86" i="1"/>
  <c r="W166" i="3"/>
  <c r="AA163" i="1"/>
  <c r="Z88" i="3"/>
  <c r="Z196" i="3"/>
  <c r="Z115" i="3"/>
  <c r="AA190" i="1"/>
  <c r="AA4" i="1"/>
  <c r="W17" i="3"/>
  <c r="AA75" i="3"/>
  <c r="AA71" i="3"/>
  <c r="Z102" i="1"/>
  <c r="Z118" i="3"/>
  <c r="W157" i="1"/>
  <c r="W51" i="3"/>
  <c r="AA18" i="1"/>
  <c r="AA16" i="1"/>
  <c r="AA43" i="3"/>
  <c r="Z178" i="3"/>
  <c r="AA176" i="3"/>
  <c r="X58" i="3"/>
  <c r="X162" i="1"/>
  <c r="Z106" i="1"/>
  <c r="AA26" i="3"/>
  <c r="Z40" i="3"/>
  <c r="Z56" i="1"/>
  <c r="W85" i="1"/>
  <c r="W73" i="3"/>
  <c r="X115" i="3"/>
  <c r="AA168" i="3"/>
  <c r="W72" i="3"/>
  <c r="Z226" i="3"/>
  <c r="Z135" i="1"/>
  <c r="W58" i="3"/>
  <c r="W11" i="3"/>
  <c r="X139" i="3"/>
  <c r="AA71" i="1"/>
  <c r="Z28" i="1"/>
  <c r="AA179" i="1"/>
  <c r="AA124" i="1"/>
  <c r="AA225" i="1"/>
  <c r="X137" i="1"/>
  <c r="AA203" i="1"/>
  <c r="Z142" i="1"/>
  <c r="AA206" i="1"/>
  <c r="X8" i="3"/>
  <c r="AA59" i="3"/>
  <c r="AA186" i="3"/>
  <c r="Z222" i="3"/>
  <c r="W87" i="3"/>
  <c r="W140" i="3"/>
  <c r="W121" i="1"/>
  <c r="Z39" i="1"/>
  <c r="X84" i="3"/>
  <c r="W16" i="1"/>
  <c r="Z96" i="1"/>
  <c r="W103" i="3"/>
  <c r="X37" i="3"/>
  <c r="AA207" i="3"/>
  <c r="X6" i="3"/>
  <c r="AA181" i="1"/>
  <c r="X63" i="1"/>
  <c r="AA188" i="1"/>
  <c r="AA220" i="1"/>
  <c r="X89" i="3"/>
  <c r="Z36" i="3"/>
  <c r="AA107" i="3"/>
  <c r="X77" i="3"/>
  <c r="X94" i="1"/>
  <c r="Z214" i="1"/>
  <c r="W45" i="1"/>
  <c r="X85" i="3"/>
  <c r="W81" i="1"/>
  <c r="AA11" i="1"/>
  <c r="X73" i="3"/>
  <c r="AA173" i="1"/>
  <c r="X146" i="3"/>
  <c r="Z39" i="3"/>
  <c r="X116" i="3"/>
  <c r="Z184" i="3"/>
  <c r="W65" i="1"/>
  <c r="AA114" i="3"/>
  <c r="W79" i="1"/>
  <c r="X92" i="3"/>
  <c r="Z41" i="3"/>
  <c r="W65" i="3"/>
  <c r="X35" i="1"/>
  <c r="X113" i="3"/>
  <c r="AA111" i="3"/>
  <c r="X130" i="3"/>
  <c r="W99" i="1"/>
  <c r="Z226" i="1"/>
  <c r="W41" i="1"/>
  <c r="Z70" i="3"/>
  <c r="W5" i="1"/>
  <c r="X74" i="3"/>
  <c r="W162" i="3"/>
  <c r="X73" i="1"/>
  <c r="W134" i="1"/>
  <c r="W138" i="1"/>
  <c r="Z68" i="3"/>
  <c r="AA189" i="1"/>
  <c r="W143" i="3"/>
  <c r="AA119" i="3"/>
  <c r="Z200" i="3"/>
  <c r="W128" i="3"/>
  <c r="X34" i="3"/>
  <c r="W91" i="3"/>
  <c r="W142" i="3"/>
  <c r="Z51" i="1"/>
  <c r="AA45" i="1"/>
  <c r="AA67" i="1"/>
  <c r="W21" i="1"/>
  <c r="X29" i="3"/>
  <c r="W14" i="1"/>
  <c r="AA178" i="1"/>
  <c r="W160" i="3"/>
  <c r="W132" i="3"/>
  <c r="Z153" i="1"/>
  <c r="X76" i="3"/>
  <c r="Z150" i="3"/>
  <c r="AA93" i="3"/>
  <c r="W102" i="3"/>
  <c r="Z130" i="1"/>
  <c r="AA208" i="1"/>
  <c r="W64" i="3"/>
  <c r="Z119" i="3"/>
  <c r="Z70" i="1"/>
  <c r="W169" i="1"/>
  <c r="W169" i="3"/>
  <c r="Z130" i="3"/>
  <c r="Z222" i="1"/>
  <c r="W156" i="3"/>
  <c r="W76" i="3"/>
  <c r="W109" i="3"/>
  <c r="AA41" i="3"/>
  <c r="AA198" i="3"/>
  <c r="Z106" i="3"/>
  <c r="Z97" i="3"/>
  <c r="Z140" i="1"/>
  <c r="Z72" i="1"/>
  <c r="Z61" i="3"/>
  <c r="X101" i="3"/>
  <c r="X110" i="1"/>
  <c r="Z183" i="3"/>
  <c r="W75" i="1"/>
  <c r="AA228" i="3"/>
  <c r="X111" i="1"/>
  <c r="AA63" i="1"/>
  <c r="W108" i="1"/>
  <c r="Z210" i="1"/>
  <c r="Z93" i="1"/>
  <c r="AA177" i="1"/>
  <c r="AA65" i="3"/>
  <c r="AA74" i="1"/>
  <c r="X154" i="1"/>
  <c r="AA202" i="3"/>
  <c r="AA121" i="3"/>
  <c r="AA137" i="3"/>
  <c r="AA90" i="3"/>
  <c r="Z28" i="3"/>
  <c r="X160" i="3"/>
  <c r="Z134" i="3"/>
  <c r="X5" i="3"/>
  <c r="W128" i="1"/>
  <c r="AA81" i="1"/>
  <c r="AA85" i="1"/>
  <c r="Z71" i="1"/>
  <c r="Z213" i="3"/>
  <c r="AA8" i="3"/>
  <c r="AA88" i="3"/>
  <c r="AA68" i="1"/>
  <c r="Z174" i="3"/>
  <c r="AA54" i="3"/>
  <c r="AA151" i="3"/>
  <c r="X164" i="1"/>
  <c r="W27" i="1"/>
  <c r="W104" i="3"/>
  <c r="Z214" i="3"/>
  <c r="X155" i="1"/>
  <c r="X136" i="3"/>
  <c r="AA120" i="1"/>
  <c r="Z181" i="1"/>
  <c r="Z220" i="3"/>
  <c r="Z20" i="3"/>
  <c r="Z147" i="1"/>
  <c r="W124" i="3"/>
  <c r="AA15" i="1"/>
  <c r="Z87" i="3"/>
  <c r="X75" i="1"/>
  <c r="W9" i="3"/>
  <c r="Z137" i="3"/>
  <c r="AA17" i="1"/>
  <c r="X41" i="1"/>
  <c r="W129" i="3"/>
  <c r="AA101" i="3"/>
  <c r="W39" i="3"/>
  <c r="Z101" i="3"/>
  <c r="W156" i="1"/>
  <c r="W162" i="1"/>
  <c r="Z23" i="3"/>
  <c r="W30" i="3"/>
  <c r="AA102" i="3"/>
  <c r="AA35" i="3"/>
  <c r="Z224" i="1"/>
  <c r="AA170" i="3"/>
  <c r="W22" i="1"/>
  <c r="Z178" i="1"/>
  <c r="W80" i="3"/>
  <c r="X112" i="1"/>
  <c r="X166" i="3"/>
  <c r="W81" i="3"/>
  <c r="W117" i="1"/>
  <c r="AA169" i="3"/>
  <c r="AA175" i="1"/>
  <c r="AA82" i="1"/>
  <c r="X123" i="1"/>
  <c r="Z145" i="1"/>
  <c r="AA22" i="1"/>
  <c r="Z99" i="3"/>
  <c r="X149" i="3"/>
  <c r="W17" i="1"/>
  <c r="AA80" i="3"/>
  <c r="AA184" i="1"/>
  <c r="W54" i="1"/>
  <c r="X60" i="3"/>
  <c r="Z46" i="3"/>
  <c r="X43" i="3"/>
  <c r="Z124" i="3"/>
  <c r="Z188" i="3"/>
  <c r="W130" i="3"/>
  <c r="X115" i="1"/>
  <c r="Z99" i="1"/>
  <c r="AA98" i="3"/>
  <c r="AA72" i="3"/>
  <c r="X87" i="1"/>
  <c r="AA205" i="1"/>
  <c r="W48" i="1"/>
  <c r="AA145" i="1"/>
  <c r="Z10" i="1"/>
  <c r="Z57" i="3"/>
  <c r="AA12" i="1"/>
  <c r="Z173" i="1"/>
  <c r="Z160" i="3"/>
  <c r="AA161" i="1"/>
  <c r="AA14" i="3"/>
  <c r="W77" i="1"/>
  <c r="Z179" i="1"/>
  <c r="AA110" i="1"/>
  <c r="W110" i="1"/>
  <c r="X134" i="3"/>
  <c r="Z143" i="1"/>
  <c r="AA38" i="3"/>
  <c r="AA181" i="3"/>
  <c r="AA143" i="3"/>
  <c r="AA83" i="1"/>
  <c r="Z22" i="3"/>
  <c r="X38" i="3"/>
  <c r="Z37" i="3"/>
  <c r="Z35" i="1"/>
  <c r="AA96" i="1"/>
  <c r="X55" i="1"/>
  <c r="Z171" i="3"/>
  <c r="Z27" i="1"/>
  <c r="Z211" i="3"/>
  <c r="W61" i="3"/>
  <c r="AA59" i="1"/>
  <c r="Z24" i="3"/>
  <c r="W77" i="3"/>
  <c r="Z163" i="1"/>
  <c r="Z10" i="3"/>
  <c r="W130" i="1"/>
  <c r="W139" i="1"/>
  <c r="AA220" i="3"/>
  <c r="Z78" i="1"/>
  <c r="AA198" i="1"/>
  <c r="X143" i="3"/>
  <c r="AA80" i="1"/>
  <c r="W42" i="3"/>
  <c r="Z115" i="1"/>
  <c r="W135" i="3"/>
  <c r="AA122" i="1"/>
  <c r="AA178" i="3"/>
  <c r="AA154" i="3"/>
  <c r="Z201" i="1"/>
  <c r="AA46" i="1"/>
  <c r="AA105" i="3"/>
  <c r="X167" i="3"/>
  <c r="AA217" i="1"/>
  <c r="AA211" i="3"/>
  <c r="X76" i="1"/>
  <c r="AA192" i="3"/>
  <c r="W52" i="3"/>
  <c r="W108" i="3"/>
  <c r="Z38" i="1"/>
  <c r="W83" i="3"/>
  <c r="W26" i="3"/>
  <c r="W123" i="3"/>
  <c r="Z183" i="1"/>
  <c r="W18" i="1"/>
  <c r="AA125" i="3"/>
  <c r="X39" i="1"/>
  <c r="X22" i="1"/>
  <c r="W82" i="3"/>
  <c r="X48" i="3"/>
  <c r="Z204" i="1"/>
  <c r="AA22" i="3"/>
  <c r="AA57" i="3"/>
  <c r="AA159" i="3"/>
  <c r="X23" i="3"/>
  <c r="Z159" i="1"/>
  <c r="AA20" i="1"/>
  <c r="Z93" i="3"/>
  <c r="Z220" i="1"/>
  <c r="W155" i="1"/>
  <c r="Z126" i="1"/>
  <c r="W56" i="1"/>
  <c r="AA84" i="1"/>
  <c r="AA64" i="1"/>
  <c r="Z193" i="1"/>
  <c r="Z227" i="1"/>
  <c r="X133" i="3"/>
  <c r="Z148" i="3"/>
  <c r="Z116" i="3"/>
  <c r="AA187" i="3"/>
  <c r="C14" i="1"/>
  <c r="W53" i="3"/>
  <c r="AA95" i="1"/>
  <c r="Z95" i="3"/>
  <c r="X120" i="3"/>
  <c r="AA155" i="3"/>
  <c r="AA104" i="1"/>
  <c r="X163" i="1"/>
  <c r="W167" i="1"/>
  <c r="AA25" i="3"/>
  <c r="AA117" i="1"/>
  <c r="AA5" i="3"/>
  <c r="X154" i="3"/>
  <c r="X83" i="1"/>
  <c r="AA199" i="1"/>
  <c r="Z180" i="1"/>
  <c r="X74" i="1"/>
  <c r="W146" i="3"/>
  <c r="Z209" i="3"/>
  <c r="X47" i="1"/>
  <c r="AA41" i="1"/>
  <c r="Z74" i="1"/>
  <c r="Z37" i="1"/>
  <c r="X144" i="1"/>
  <c r="X131" i="1"/>
  <c r="AA194" i="1"/>
  <c r="AA52" i="1"/>
  <c r="AA209" i="1"/>
  <c r="AA204" i="1"/>
  <c r="X80" i="1"/>
  <c r="W150" i="3"/>
  <c r="AA191" i="1"/>
  <c r="W159" i="1"/>
  <c r="X155" i="3"/>
  <c r="Z190" i="3"/>
  <c r="Z45" i="1"/>
  <c r="AA148" i="1"/>
  <c r="Z205" i="3"/>
  <c r="X123" i="3"/>
  <c r="Z172" i="1"/>
  <c r="W92" i="3"/>
  <c r="Z200" i="1"/>
  <c r="AA33" i="1"/>
  <c r="Z8" i="1"/>
  <c r="AA155" i="1"/>
  <c r="Z5" i="3"/>
  <c r="X101" i="1"/>
  <c r="X18" i="3"/>
  <c r="W161" i="1"/>
  <c r="W141" i="3"/>
  <c r="AA195" i="1"/>
  <c r="AA196" i="1"/>
  <c r="AA160" i="3"/>
  <c r="AA7" i="3"/>
  <c r="Z224" i="3"/>
  <c r="AA120" i="3"/>
  <c r="Z221" i="1"/>
  <c r="Z168" i="3"/>
  <c r="W119" i="3"/>
  <c r="AA134" i="3"/>
  <c r="W110" i="3"/>
  <c r="W67" i="3"/>
  <c r="Z184" i="1"/>
  <c r="AA129" i="1"/>
  <c r="W104" i="1"/>
  <c r="W124" i="1"/>
  <c r="W134" i="3"/>
  <c r="AA136" i="1"/>
  <c r="Z216" i="3"/>
  <c r="Z173" i="3"/>
  <c r="AA102" i="1"/>
  <c r="X35" i="3"/>
  <c r="W158" i="3"/>
  <c r="Z87" i="1"/>
  <c r="AA60" i="3"/>
  <c r="Z121" i="1"/>
  <c r="W6" i="3"/>
  <c r="AA160" i="1"/>
  <c r="AA207" i="1"/>
  <c r="X16" i="3"/>
  <c r="X60" i="1"/>
  <c r="X96" i="3"/>
  <c r="W126" i="1"/>
  <c r="W148" i="3"/>
  <c r="AA226" i="3"/>
  <c r="Z8" i="3"/>
  <c r="W133" i="1"/>
  <c r="Z199" i="1"/>
  <c r="W132" i="1"/>
  <c r="AA201" i="1"/>
  <c r="X141" i="3"/>
  <c r="W72" i="1"/>
  <c r="X69" i="1"/>
  <c r="AA214" i="1"/>
  <c r="Z45" i="3"/>
  <c r="Z153" i="3"/>
  <c r="AA187" i="1"/>
  <c r="W32" i="1"/>
  <c r="AA50" i="1"/>
  <c r="Z77" i="1"/>
  <c r="Z119" i="1"/>
  <c r="X84" i="1"/>
  <c r="AA116" i="3"/>
  <c r="Z203" i="1"/>
  <c r="X34" i="1"/>
  <c r="W54" i="3"/>
  <c r="AA30" i="1"/>
  <c r="AA5" i="1"/>
  <c r="X121" i="1"/>
  <c r="X163" i="3"/>
  <c r="W6" i="1"/>
  <c r="Z67" i="1"/>
  <c r="X9" i="3"/>
  <c r="Z69" i="3"/>
  <c r="Z23" i="1"/>
  <c r="X157" i="3"/>
  <c r="Z66" i="3"/>
  <c r="X95" i="3"/>
  <c r="X26" i="3"/>
  <c r="AA34" i="3"/>
  <c r="X112" i="3"/>
  <c r="X72" i="3"/>
  <c r="X167" i="1"/>
  <c r="Z192" i="1"/>
  <c r="Z12" i="1"/>
  <c r="Z42" i="3"/>
  <c r="Z174" i="1"/>
  <c r="X132" i="3"/>
  <c r="Z74" i="3"/>
  <c r="X32" i="1"/>
  <c r="W105" i="1"/>
  <c r="AA24" i="3"/>
  <c r="Z149" i="3"/>
  <c r="AA53" i="1"/>
  <c r="X129" i="3"/>
  <c r="X102" i="3"/>
  <c r="AA158" i="1"/>
  <c r="X142" i="1"/>
  <c r="X131" i="3"/>
  <c r="W44" i="1"/>
  <c r="Z228" i="3"/>
  <c r="X133" i="1"/>
  <c r="AA146" i="3"/>
  <c r="X99" i="1"/>
  <c r="W149" i="1"/>
  <c r="W107" i="1"/>
  <c r="Z207" i="1"/>
  <c r="W163" i="3"/>
  <c r="Z22" i="1"/>
  <c r="AA56" i="1"/>
  <c r="W100" i="1"/>
  <c r="X134" i="1"/>
  <c r="Z204" i="3"/>
  <c r="Z215" i="1"/>
  <c r="AA135" i="1"/>
  <c r="W33" i="1"/>
  <c r="X150" i="3"/>
  <c r="X108" i="1"/>
  <c r="W94" i="3"/>
  <c r="Z132" i="1"/>
  <c r="X24" i="3"/>
  <c r="W85" i="3"/>
  <c r="X130" i="1"/>
  <c r="AA219" i="3"/>
  <c r="Z85" i="3"/>
  <c r="X15" i="1"/>
  <c r="X96" i="1"/>
  <c r="X57" i="1"/>
  <c r="W30" i="1"/>
  <c r="Z11" i="3"/>
  <c r="AA78" i="1"/>
  <c r="W29" i="3"/>
  <c r="Z79" i="1"/>
  <c r="AA99" i="1"/>
  <c r="Z162" i="1"/>
  <c r="W7" i="3"/>
  <c r="Z114" i="1"/>
  <c r="AA87" i="1"/>
  <c r="AA212" i="3"/>
  <c r="W93" i="3"/>
  <c r="AA103" i="1"/>
  <c r="AA83" i="3"/>
  <c r="W28" i="1"/>
  <c r="W118" i="3"/>
  <c r="Z185" i="3"/>
  <c r="X82" i="3"/>
  <c r="W71" i="1"/>
  <c r="AA104" i="3"/>
  <c r="AA194" i="3"/>
  <c r="W23" i="3"/>
  <c r="W10" i="3"/>
  <c r="Z166" i="3"/>
  <c r="AA76" i="1"/>
  <c r="W47" i="1"/>
  <c r="AA28" i="3"/>
  <c r="AA11" i="3"/>
  <c r="Z223" i="3"/>
  <c r="W113" i="1"/>
  <c r="W4" i="1"/>
  <c r="AA176" i="1"/>
  <c r="W112" i="3"/>
  <c r="AA63" i="3"/>
  <c r="X140" i="3"/>
  <c r="AA230" i="1"/>
  <c r="AA182" i="1"/>
  <c r="W55" i="3"/>
  <c r="Z91" i="1"/>
  <c r="W15" i="1"/>
  <c r="Z3" i="3"/>
  <c r="AA197" i="1"/>
  <c r="X121" i="3"/>
  <c r="W164" i="3"/>
  <c r="W63" i="3"/>
  <c r="AA121" i="1"/>
  <c r="AA69" i="3"/>
  <c r="X88" i="3"/>
  <c r="X10" i="3"/>
  <c r="AA150" i="3"/>
  <c r="AA153" i="3"/>
  <c r="Z219" i="3"/>
  <c r="W28" i="3"/>
  <c r="AA227" i="1"/>
  <c r="Z131" i="1"/>
  <c r="Z177" i="3"/>
  <c r="X49" i="1"/>
  <c r="Z76" i="3"/>
  <c r="AA70" i="1"/>
  <c r="Z194" i="1"/>
  <c r="Z17" i="1"/>
  <c r="AA34" i="1"/>
  <c r="Z132" i="3"/>
  <c r="Z57" i="1"/>
  <c r="AA217" i="3"/>
  <c r="AA208" i="3"/>
  <c r="W88" i="1"/>
  <c r="X21" i="1"/>
  <c r="W152" i="1"/>
  <c r="AA168" i="1"/>
  <c r="Z116" i="1"/>
  <c r="C12" i="3"/>
  <c r="AA107" i="1"/>
  <c r="Z113" i="1"/>
  <c r="AA100" i="3"/>
  <c r="X125" i="1"/>
  <c r="AA191" i="3"/>
  <c r="W145" i="1"/>
  <c r="Z179" i="3"/>
  <c r="W139" i="3"/>
  <c r="X126" i="1"/>
  <c r="AA93" i="1"/>
  <c r="X28" i="1"/>
  <c r="X33" i="3"/>
  <c r="AA75" i="1"/>
  <c r="AA183" i="3"/>
  <c r="W40" i="3"/>
  <c r="X37" i="1"/>
  <c r="X51" i="3"/>
  <c r="W27" i="3"/>
  <c r="Z107" i="3"/>
  <c r="W55" i="1"/>
  <c r="Z9" i="3"/>
  <c r="X127" i="3"/>
  <c r="W116" i="3"/>
  <c r="AA61" i="1"/>
  <c r="Z60" i="1"/>
  <c r="W99" i="3"/>
  <c r="X26" i="1"/>
  <c r="AA68" i="3"/>
  <c r="X7" i="1"/>
  <c r="X72" i="1"/>
  <c r="W109" i="1"/>
  <c r="Z101" i="1"/>
  <c r="AA113" i="1"/>
  <c r="W49" i="3"/>
  <c r="Z161" i="1"/>
  <c r="Z29" i="3"/>
  <c r="AA142" i="3"/>
  <c r="AA92" i="1"/>
  <c r="W152" i="3"/>
  <c r="X71" i="1"/>
  <c r="W78" i="1"/>
  <c r="X102" i="1"/>
  <c r="AA57" i="1"/>
  <c r="Z33" i="3"/>
  <c r="AA58" i="1"/>
  <c r="Z141" i="1"/>
  <c r="W15" i="3"/>
  <c r="Z139" i="3"/>
  <c r="AA40" i="3"/>
  <c r="Z33" i="1"/>
  <c r="X8" i="1"/>
  <c r="X20" i="3"/>
  <c r="X64" i="1"/>
  <c r="Z81" i="1"/>
  <c r="Z203" i="3"/>
  <c r="X41" i="3"/>
  <c r="AA6" i="3"/>
  <c r="AA20" i="3"/>
  <c r="W165" i="1"/>
  <c r="AA55" i="1"/>
  <c r="Z86" i="1"/>
  <c r="X50" i="1"/>
  <c r="X113" i="1"/>
  <c r="X147" i="3"/>
  <c r="Z176" i="1"/>
  <c r="W25" i="1"/>
  <c r="X120" i="1"/>
  <c r="AA229" i="1"/>
  <c r="Z51" i="3"/>
  <c r="W62" i="1"/>
  <c r="W146" i="1"/>
  <c r="W93" i="1"/>
  <c r="Z111" i="1"/>
  <c r="W167" i="3"/>
  <c r="Z182" i="3"/>
  <c r="AA94" i="1"/>
  <c r="C16" i="3"/>
  <c r="W60" i="3"/>
  <c r="AA73" i="3"/>
  <c r="X106" i="1"/>
  <c r="Z228" i="1"/>
  <c r="W13" i="1"/>
  <c r="AA166" i="3"/>
  <c r="X81" i="1"/>
  <c r="Z162" i="3"/>
  <c r="Z100" i="3"/>
  <c r="Z141" i="3"/>
  <c r="X13" i="1"/>
  <c r="Z218" i="1"/>
  <c r="Z117" i="3"/>
  <c r="Z59" i="3"/>
  <c r="W84" i="1"/>
  <c r="Z158" i="3"/>
  <c r="AA225" i="3"/>
  <c r="X153" i="1"/>
  <c r="Z198" i="3"/>
  <c r="AA167" i="1"/>
  <c r="Z40" i="1"/>
  <c r="W68" i="3"/>
  <c r="AA213" i="3"/>
  <c r="W153" i="1"/>
  <c r="Z31" i="3"/>
  <c r="AA27" i="1"/>
  <c r="X82" i="1"/>
  <c r="Z167" i="1"/>
  <c r="AA49" i="1"/>
  <c r="Z92" i="3"/>
  <c r="AA65" i="1"/>
  <c r="AA29" i="3"/>
  <c r="W70" i="1"/>
  <c r="AA88" i="1"/>
  <c r="Z30" i="1"/>
  <c r="AA69" i="1"/>
  <c r="W87" i="1"/>
  <c r="Z63" i="3"/>
  <c r="Z186" i="1"/>
  <c r="Z41" i="1"/>
  <c r="AA12" i="3"/>
  <c r="Z58" i="1"/>
  <c r="W57" i="3"/>
  <c r="Z94" i="1"/>
  <c r="Z4" i="3"/>
  <c r="AA140" i="3"/>
  <c r="Z127" i="1"/>
  <c r="W120" i="3"/>
  <c r="X151" i="3"/>
  <c r="Z75" i="3"/>
  <c r="AA109" i="1"/>
  <c r="Z154" i="1"/>
  <c r="X66" i="3"/>
  <c r="X24" i="1"/>
  <c r="AA52" i="3"/>
  <c r="AA141" i="3"/>
  <c r="Z128" i="3"/>
  <c r="Z64" i="1"/>
  <c r="Z26" i="1"/>
  <c r="X45" i="1"/>
  <c r="AA170" i="1"/>
  <c r="Z229" i="3"/>
  <c r="AA226" i="1"/>
  <c r="X140" i="1"/>
  <c r="AA190" i="3"/>
  <c r="Z83" i="3"/>
  <c r="Z129" i="3"/>
  <c r="AA3" i="1"/>
  <c r="X145" i="1"/>
  <c r="AA97" i="1"/>
  <c r="W106" i="1"/>
  <c r="X97" i="3"/>
  <c r="Z44" i="3"/>
  <c r="Z156" i="1"/>
  <c r="Z108" i="3"/>
  <c r="W20" i="1"/>
  <c r="W50" i="3"/>
  <c r="Z54" i="3"/>
  <c r="Z209" i="1"/>
  <c r="W36" i="3"/>
  <c r="W75" i="3"/>
  <c r="W19" i="1"/>
  <c r="Z146" i="1"/>
  <c r="X54" i="3"/>
  <c r="AA193" i="1"/>
  <c r="X40" i="1"/>
  <c r="Z53" i="1"/>
  <c r="AA61" i="3"/>
  <c r="AA137" i="1"/>
  <c r="Z79" i="3"/>
  <c r="Z213" i="1"/>
  <c r="W24" i="3"/>
  <c r="X122" i="3"/>
  <c r="AA60" i="1"/>
  <c r="X148" i="1"/>
  <c r="X93" i="1"/>
  <c r="AA221" i="3"/>
  <c r="Z189" i="1"/>
  <c r="X168" i="1"/>
  <c r="Z114" i="3"/>
  <c r="AA84" i="3"/>
  <c r="W20" i="3"/>
  <c r="W158" i="1"/>
  <c r="Z98" i="1"/>
  <c r="Z212" i="1"/>
  <c r="AA157" i="1"/>
  <c r="W90" i="1"/>
  <c r="X81" i="3"/>
  <c r="Z144" i="1"/>
  <c r="AA210" i="3"/>
  <c r="Z195" i="3"/>
  <c r="Z47" i="3"/>
  <c r="AA139" i="3"/>
  <c r="Z36" i="1"/>
  <c r="Z102" i="3"/>
  <c r="X22" i="3"/>
  <c r="W113" i="3"/>
  <c r="W82" i="1"/>
  <c r="X53" i="1"/>
  <c r="AA195" i="3"/>
  <c r="AA224" i="3"/>
  <c r="W118" i="1"/>
  <c r="AA38" i="1"/>
  <c r="AA134" i="1"/>
  <c r="Z229" i="1"/>
  <c r="AA192" i="1"/>
  <c r="Z13" i="3"/>
  <c r="X144" i="3"/>
  <c r="AA212" i="1"/>
  <c r="X78" i="3"/>
  <c r="Z125" i="3"/>
  <c r="W51" i="1"/>
  <c r="X13" i="3"/>
  <c r="X6" i="1"/>
  <c r="X158" i="1"/>
  <c r="X55" i="3"/>
  <c r="Z13" i="1"/>
  <c r="X126" i="3"/>
  <c r="X25" i="1"/>
  <c r="W149" i="3"/>
  <c r="AA44" i="1"/>
  <c r="X97" i="1"/>
  <c r="Z155" i="3"/>
  <c r="W37" i="1"/>
  <c r="Z134" i="1"/>
  <c r="Z16" i="3"/>
  <c r="C11" i="1"/>
  <c r="W86" i="3"/>
  <c r="W122" i="3"/>
  <c r="AA144" i="3"/>
  <c r="W53" i="1"/>
  <c r="AA28" i="1"/>
  <c r="AA145" i="3"/>
  <c r="W46" i="3"/>
  <c r="AA6" i="1"/>
  <c r="W66" i="1"/>
  <c r="X159" i="3"/>
  <c r="AA130" i="3"/>
  <c r="AA180" i="3"/>
  <c r="X122" i="1"/>
  <c r="W68" i="1"/>
  <c r="Z136" i="3"/>
  <c r="AA199" i="3"/>
  <c r="W135" i="1"/>
  <c r="W62" i="3"/>
  <c r="AA50" i="3"/>
  <c r="X93" i="3"/>
  <c r="Z164" i="1"/>
  <c r="X19" i="1"/>
  <c r="X165" i="1"/>
  <c r="AA77" i="1"/>
  <c r="Z120" i="3"/>
  <c r="AA91" i="1"/>
  <c r="W23" i="1"/>
  <c r="Z230" i="3"/>
  <c r="AA103" i="3"/>
  <c r="AA144" i="1"/>
  <c r="X136" i="1"/>
  <c r="Z185" i="1"/>
  <c r="W56" i="3"/>
  <c r="AA151" i="1"/>
  <c r="Z211" i="1"/>
  <c r="X54" i="1"/>
  <c r="X53" i="3"/>
  <c r="AA128" i="1"/>
  <c r="W90" i="3"/>
  <c r="AA216" i="3"/>
  <c r="Z100" i="1"/>
  <c r="W11" i="1"/>
  <c r="Z138" i="3"/>
  <c r="Z25" i="3"/>
  <c r="AA118" i="3"/>
  <c r="AA224" i="1"/>
  <c r="X11" i="1"/>
  <c r="W116" i="1"/>
  <c r="Z52" i="3"/>
  <c r="X67" i="1"/>
  <c r="AA230" i="3"/>
  <c r="C15" i="1" l="1"/>
  <c r="C13" i="1"/>
  <c r="C15" i="3"/>
  <c r="C17" i="3"/>
  <c r="C18" i="3"/>
  <c r="C13" i="3"/>
  <c r="E11" i="1" a="1"/>
  <c r="E12" i="3" a="1"/>
  <c r="F12" i="3" a="1"/>
  <c r="F11" i="1" a="1"/>
  <c r="F14" i="1" a="1"/>
  <c r="E14" i="1" a="1"/>
  <c r="E16" i="3" a="1"/>
  <c r="F16" i="3" a="1"/>
  <c r="F16" i="3" l="1"/>
  <c r="E16" i="3"/>
  <c r="E14" i="1"/>
  <c r="F14" i="1"/>
  <c r="F11" i="1"/>
  <c r="F12" i="1" s="1"/>
  <c r="F12" i="3"/>
  <c r="E12" i="3"/>
  <c r="E11" i="1"/>
  <c r="C14" i="3"/>
  <c r="C12" i="1"/>
  <c r="F13" i="3" a="1"/>
  <c r="E13" i="3" a="1"/>
  <c r="E13" i="3" l="1"/>
  <c r="F13" i="3"/>
  <c r="F14" i="3" s="1"/>
  <c r="E15" i="1"/>
  <c r="G15" i="1" a="1"/>
  <c r="F15" i="1" a="1"/>
  <c r="D15" i="1" a="1"/>
  <c r="G12" i="3" a="1"/>
  <c r="D12" i="1" a="1"/>
  <c r="H14" i="1" a="1"/>
  <c r="G16" i="3" a="1"/>
  <c r="E12" i="1" a="1"/>
  <c r="G14" i="1" a="1"/>
  <c r="G13" i="3" a="1"/>
  <c r="H11" i="1" a="1"/>
  <c r="G11" i="1" a="1"/>
  <c r="E14" i="3" a="1"/>
  <c r="D15" i="1" l="1"/>
  <c r="F15" i="1"/>
  <c r="G15" i="1"/>
  <c r="E14" i="3"/>
  <c r="G11" i="1"/>
  <c r="H11" i="1"/>
  <c r="G13" i="3"/>
  <c r="G14" i="1"/>
  <c r="E12" i="1"/>
  <c r="G16" i="3"/>
  <c r="H14" i="1"/>
  <c r="D12" i="1"/>
  <c r="G12" i="3"/>
  <c r="E17" i="3"/>
  <c r="K9" i="1"/>
  <c r="H15" i="1" a="1"/>
  <c r="D14" i="3" a="1"/>
  <c r="D14" i="3" l="1"/>
  <c r="H15" i="1"/>
  <c r="E13" i="1"/>
  <c r="E18" i="3"/>
  <c r="E15" i="3"/>
  <c r="H12" i="1" a="1"/>
  <c r="G17" i="3" a="1"/>
  <c r="G12" i="1" a="1"/>
  <c r="D17" i="3" a="1"/>
  <c r="G14" i="3" a="1"/>
  <c r="G14" i="3" l="1"/>
  <c r="D17" i="3"/>
  <c r="G12" i="1"/>
  <c r="G17" i="3"/>
  <c r="H12" i="1"/>
  <c r="K10" i="3"/>
  <c r="K9" i="3"/>
  <c r="K10" i="1"/>
  <c r="G15" i="3" a="1"/>
  <c r="H13" i="1" a="1"/>
  <c r="F13" i="1" a="1"/>
  <c r="D13" i="1" a="1"/>
  <c r="F15" i="3" a="1"/>
  <c r="D15" i="3" a="1"/>
  <c r="D18" i="3" a="1"/>
  <c r="G18" i="3" a="1"/>
  <c r="F18" i="3" a="1"/>
  <c r="G13" i="1" a="1"/>
  <c r="F17" i="3" a="1"/>
  <c r="F17" i="3" l="1"/>
  <c r="G13" i="1"/>
  <c r="F18" i="3"/>
  <c r="G18" i="3"/>
  <c r="D18" i="3"/>
  <c r="D15" i="3"/>
  <c r="F15" i="3"/>
  <c r="D13" i="1"/>
  <c r="F13" i="1"/>
  <c r="H13" i="1"/>
  <c r="G15" i="3"/>
  <c r="K15" i="1"/>
  <c r="K11" i="1"/>
  <c r="K12" i="1"/>
  <c r="K14" i="1" s="1"/>
  <c r="K11" i="3"/>
  <c r="K15" i="3"/>
  <c r="K12" i="3"/>
  <c r="K14" i="3" s="1"/>
  <c r="K13" i="1" l="1"/>
  <c r="K13" i="3"/>
  <c r="K18" i="3"/>
  <c r="L18" i="3"/>
  <c r="K19" i="3"/>
  <c r="L1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<sst xmlns="http://schemas.openxmlformats.org/spreadsheetml/2006/main" count="116" uniqueCount="53">
  <si>
    <t>input parameters</t>
  </si>
  <si>
    <t>K</t>
  </si>
  <si>
    <t>látka 1</t>
  </si>
  <si>
    <t>látka 2</t>
  </si>
  <si>
    <r>
      <rPr>
        <sz val="11"/>
        <color theme="1"/>
        <rFont val="Aptos Narrow"/>
        <family val="2"/>
      </rPr>
      <t>η_</t>
    </r>
    <r>
      <rPr>
        <sz val="11"/>
        <color theme="1"/>
        <rFont val="Calibri"/>
        <family val="2"/>
      </rPr>
      <t>comp</t>
    </r>
  </si>
  <si>
    <t>T_eva</t>
  </si>
  <si>
    <t>T_cond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</si>
  <si>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T_SH</t>
    </r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</si>
  <si>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T_SC</t>
    </r>
  </si>
  <si>
    <t>p [kPa]</t>
  </si>
  <si>
    <t>T [°C]</t>
  </si>
  <si>
    <t>°C</t>
  </si>
  <si>
    <t>Q_out</t>
  </si>
  <si>
    <t>kW</t>
  </si>
  <si>
    <t>h [kJ/kg]</t>
  </si>
  <si>
    <t>s [kJ/kg]</t>
  </si>
  <si>
    <t>2s</t>
  </si>
  <si>
    <t>q_in</t>
  </si>
  <si>
    <t>q_out</t>
  </si>
  <si>
    <t>kJ/kg</t>
  </si>
  <si>
    <t>kg/s</t>
  </si>
  <si>
    <t>w_cycle</t>
  </si>
  <si>
    <t>W_comp</t>
  </si>
  <si>
    <t>ρ [kg/m3]</t>
  </si>
  <si>
    <t>COP_mix</t>
  </si>
  <si>
    <t>VHC_mix</t>
  </si>
  <si>
    <t>Bod</t>
  </si>
  <si>
    <t>m_dot</t>
  </si>
  <si>
    <t>COP</t>
  </si>
  <si>
    <t>x1</t>
  </si>
  <si>
    <t>T</t>
  </si>
  <si>
    <t>s1</t>
  </si>
  <si>
    <t>s2</t>
  </si>
  <si>
    <t>R1336MZZE</t>
  </si>
  <si>
    <t>R1233ZDE</t>
  </si>
  <si>
    <t>REFPROP::R1233ZDE</t>
  </si>
  <si>
    <t>x</t>
  </si>
  <si>
    <t>REFPROP::R1233ZDE[0.5]&amp;R1234ZEZ[0.5]</t>
  </si>
  <si>
    <t>1ihx</t>
  </si>
  <si>
    <t>3ihx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</si>
  <si>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T_IHX</t>
    </r>
  </si>
  <si>
    <t>kJ/m3</t>
  </si>
  <si>
    <t>dCOP</t>
  </si>
  <si>
    <t>dVHC</t>
  </si>
  <si>
    <t>abs</t>
  </si>
  <si>
    <t>rel [%]</t>
  </si>
  <si>
    <t>REFPROP::R365MFC</t>
  </si>
  <si>
    <t>REFPROP::R1234ZEZ</t>
  </si>
  <si>
    <t>s</t>
  </si>
  <si>
    <t>REFPROP::R1336MZZZ</t>
  </si>
  <si>
    <t>REFPROP::R142B</t>
  </si>
  <si>
    <t>REFPROP::R1233ZDE[0.25]&amp;R1234ZEZ[0.4]&amp;R1336MZZZ[0.3]&amp;R142B[0.05]</t>
  </si>
  <si>
    <t>REFPROP::R1233ZDE[0.245]&amp;R1234ZEZ[0.4]&amp;R1336MZZZ[0.3]&amp;R142B[0.055]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</si>
</sst>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0" fillId="2" borderId="0" xfId="0" applyNumberFormat="1" applyFill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22"/>
          <c:order val="0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BASIC!$X$3:$X$230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D-C79D-4B9D-9E96-AF39BCA45E13}"/>
            </c:ext>
          </c:extLst>
        </c:ser>
        <c:ser>
          <c:idx val="23"/>
          <c:order val="1"/>
          <c:marker>
            <c:symbol val="none"/>
          </c:marker>
          <c:xVal>
            <c:numRef>
              <c:f>BASIC!$W$3:$W$230</c:f>
              <c:numCache>
                <c:formatCode>General</c:formatCode>
                <c:ptCount val="228"/>
                <c:pt idx="0">
                  <c:v>0.99935383812074075</c:v>
                </c:pt>
                <c:pt idx="1">
                  <c:v>1.0036571124029343</c:v>
                </c:pt>
                <c:pt idx="2">
                  <c:v>1.007949921588732</c:v>
                </c:pt>
                <c:pt idx="3">
                  <c:v>1.0122323565496221</c:v>
                </c:pt>
                <c:pt idx="4">
                  <c:v>1.0165045076500987</c:v>
                </c:pt>
                <c:pt idx="5">
                  <c:v>1.0207664647681178</c:v>
                </c:pt>
                <c:pt idx="6">
                  <c:v>1.025018317315169</c:v>
                </c:pt>
                <c:pt idx="7">
                  <c:v>1.0292601542559727</c:v>
                </c:pt>
                <c:pt idx="8">
                  <c:v>1.0334920641278504</c:v>
                </c:pt>
                <c:pt idx="9">
                  <c:v>1.0377141350597896</c:v>
                </c:pt>
                <c:pt idx="10">
                  <c:v>1.0419264547912337</c:v>
                </c:pt>
                <c:pt idx="11">
                  <c:v>1.0461291106906001</c:v>
                </c:pt>
                <c:pt idx="12">
                  <c:v>1.0503221897736099</c:v>
                </c:pt>
                <c:pt idx="13">
                  <c:v>1.0545057787213796</c:v>
                </c:pt>
                <c:pt idx="14">
                  <c:v>1.0586799638983757</c:v>
                </c:pt>
                <c:pt idx="15">
                  <c:v>1.0628448313701864</c:v>
                </c:pt>
                <c:pt idx="16">
                  <c:v>1.0670004669212028</c:v>
                </c:pt>
                <c:pt idx="17">
                  <c:v>1.0711469560721758</c:v>
                </c:pt>
                <c:pt idx="18">
                  <c:v>1.0752843840977115</c:v>
                </c:pt>
                <c:pt idx="19">
                  <c:v>1.0794128360437187</c:v>
                </c:pt>
                <c:pt idx="20">
                  <c:v>1.0835323967448098</c:v>
                </c:pt>
                <c:pt idx="21">
                  <c:v>1.0876431508417204</c:v>
                </c:pt>
                <c:pt idx="22">
                  <c:v>1.0917451827987306</c:v>
                </c:pt>
                <c:pt idx="23">
                  <c:v>1.0958385769211378</c:v>
                </c:pt>
                <c:pt idx="24">
                  <c:v>1.0999234173727939</c:v>
                </c:pt>
                <c:pt idx="25">
                  <c:v>1.1039997881937191</c:v>
                </c:pt>
                <c:pt idx="26">
                  <c:v>1.1080677733178383</c:v>
                </c:pt>
                <c:pt idx="27">
                  <c:v>1.112127456590849</c:v>
                </c:pt>
                <c:pt idx="28">
                  <c:v>1.1161789217882361</c:v>
                </c:pt>
                <c:pt idx="29">
                  <c:v>1.1202222526334802</c:v>
                </c:pt>
                <c:pt idx="30">
                  <c:v>1.1242575328164468</c:v>
                </c:pt>
                <c:pt idx="31">
                  <c:v>1.1282848460120287</c:v>
                </c:pt>
                <c:pt idx="32">
                  <c:v>1.1323042758990149</c:v>
                </c:pt>
                <c:pt idx="33">
                  <c:v>1.1363159061792447</c:v>
                </c:pt>
                <c:pt idx="34">
                  <c:v>1.1403198205970508</c:v>
                </c:pt>
                <c:pt idx="35">
                  <c:v>1.1443161029590414</c:v>
                </c:pt>
                <c:pt idx="36">
                  <c:v>1.1483048371542033</c:v>
                </c:pt>
                <c:pt idx="37">
                  <c:v>1.152286107174415</c:v>
                </c:pt>
                <c:pt idx="38">
                  <c:v>1.1562599971353227</c:v>
                </c:pt>
                <c:pt idx="39">
                  <c:v>1.1602265912976704</c:v>
                </c:pt>
                <c:pt idx="40">
                  <c:v>1.1641859740890776</c:v>
                </c:pt>
                <c:pt idx="41">
                  <c:v>1.1681382301262944</c:v>
                </c:pt>
                <c:pt idx="42">
                  <c:v>1.1720834442379842</c:v>
                </c:pt>
                <c:pt idx="43">
                  <c:v>1.1760217014880414</c:v>
                </c:pt>
                <c:pt idx="44">
                  <c:v>1.1799530871994934</c:v>
                </c:pt>
                <c:pt idx="45">
                  <c:v>1.1838776869789995</c:v>
                </c:pt>
                <c:pt idx="46">
                  <c:v>1.1877955867420156</c:v>
                </c:pt>
                <c:pt idx="47">
                  <c:v>1.1917068727386215</c:v>
                </c:pt>
                <c:pt idx="48">
                  <c:v>1.1956116315800682</c:v>
                </c:pt>
                <c:pt idx="49">
                  <c:v>1.1995099502660949</c:v>
                </c:pt>
                <c:pt idx="50">
                  <c:v>1.2034019162130283</c:v>
                </c:pt>
                <c:pt idx="51">
                  <c:v>1.2072876172827212</c:v>
                </c:pt>
                <c:pt idx="52">
                  <c:v>1.2111671418124004</c:v>
                </c:pt>
                <c:pt idx="53">
                  <c:v>1.2150405786454082</c:v>
                </c:pt>
                <c:pt idx="54">
                  <c:v>1.2189080171629554</c:v>
                </c:pt>
                <c:pt idx="55">
                  <c:v>1.2227695473168991</c:v>
                </c:pt>
                <c:pt idx="56">
                  <c:v>1.2266252596635954</c:v>
                </c:pt>
                <c:pt idx="57">
                  <c:v>1.2304752453989167</c:v>
                </c:pt>
                <c:pt idx="58">
                  <c:v>1.2343195963944575</c:v>
                </c:pt>
                <c:pt idx="59">
                  <c:v>1.2381584052350196</c:v>
                </c:pt>
                <c:pt idx="60">
                  <c:v>1.2419917652574359</c:v>
                </c:pt>
                <c:pt idx="61">
                  <c:v>1.2458197705907987</c:v>
                </c:pt>
                <c:pt idx="62">
                  <c:v>1.2496425161981703</c:v>
                </c:pt>
                <c:pt idx="63">
                  <c:v>1.253460097919872</c:v>
                </c:pt>
                <c:pt idx="64">
                  <c:v>1.2572726125184119</c:v>
                </c:pt>
                <c:pt idx="65">
                  <c:v>1.2610801577251685</c:v>
                </c:pt>
                <c:pt idx="66">
                  <c:v>1.2648828322888912</c:v>
                </c:pt>
                <c:pt idx="67">
                  <c:v>1.2686807360261754</c:v>
                </c:pt>
                <c:pt idx="68">
                  <c:v>1.2724739698739582</c:v>
                </c:pt>
                <c:pt idx="69">
                  <c:v>1.276262635944196</c:v>
                </c:pt>
                <c:pt idx="70">
                  <c:v>1.2800468375808449</c:v>
                </c:pt>
                <c:pt idx="71">
                  <c:v>1.2838266794192421</c:v>
                </c:pt>
                <c:pt idx="72">
                  <c:v>1.2876022674480709</c:v>
                </c:pt>
                <c:pt idx="73">
                  <c:v>1.2913737090740509</c:v>
                </c:pt>
                <c:pt idx="74">
                  <c:v>1.295141113189485</c:v>
                </c:pt>
                <c:pt idx="75">
                  <c:v>1.2989045902428917</c:v>
                </c:pt>
                <c:pt idx="76">
                  <c:v>1.3026642523128524</c:v>
                </c:pt>
                <c:pt idx="77">
                  <c:v>1.3064202131853251</c:v>
                </c:pt>
                <c:pt idx="78">
                  <c:v>1.3101725884345881</c:v>
                </c:pt>
                <c:pt idx="79">
                  <c:v>1.313921495508096</c:v>
                </c:pt>
                <c:pt idx="80">
                  <c:v>1.3176670538154613</c:v>
                </c:pt>
                <c:pt idx="81">
                  <c:v>1.3214093848218289</c:v>
                </c:pt>
                <c:pt idx="82">
                  <c:v>1.3251486121459628</c:v>
                </c:pt>
                <c:pt idx="83">
                  <c:v>1.3288848616633187</c:v>
                </c:pt>
                <c:pt idx="84">
                  <c:v>1.3326182616144591</c:v>
                </c:pt>
                <c:pt idx="85">
                  <c:v>1.3363489427191748</c:v>
                </c:pt>
                <c:pt idx="86">
                  <c:v>1.3400770382966898</c:v>
                </c:pt>
                <c:pt idx="87">
                  <c:v>1.3438026843923925</c:v>
                </c:pt>
                <c:pt idx="88">
                  <c:v>1.3475260199115398</c:v>
                </c:pt>
                <c:pt idx="89">
                  <c:v>1.3512471867604432</c:v>
                </c:pt>
                <c:pt idx="90">
                  <c:v>1.3549663299956802</c:v>
                </c:pt>
                <c:pt idx="91">
                  <c:v>1.3586835979819074</c:v>
                </c:pt>
                <c:pt idx="92">
                  <c:v>1.3623991425589403</c:v>
                </c:pt>
                <c:pt idx="93">
                  <c:v>1.366113119218791</c:v>
                </c:pt>
                <c:pt idx="94">
                  <c:v>1.3698256872934167</c:v>
                </c:pt>
                <c:pt idx="95">
                  <c:v>1.3735370101540452</c:v>
                </c:pt>
                <c:pt idx="96">
                  <c:v>1.3772472554229509</c:v>
                </c:pt>
                <c:pt idx="97">
                  <c:v>1.3809565951987335</c:v>
                </c:pt>
                <c:pt idx="98">
                  <c:v>1.3846652062961544</c:v>
                </c:pt>
                <c:pt idx="99">
                  <c:v>1.3883732705017666</c:v>
                </c:pt>
                <c:pt idx="100">
                  <c:v>1.3920809748466492</c:v>
                </c:pt>
                <c:pt idx="101">
                  <c:v>1.395788511897728</c:v>
                </c:pt>
                <c:pt idx="102">
                  <c:v>1.3994960800692851</c:v>
                </c:pt>
                <c:pt idx="103">
                  <c:v>1.4032038839564369</c:v>
                </c:pt>
                <c:pt idx="104">
                  <c:v>1.4069121346925726</c:v>
                </c:pt>
                <c:pt idx="105">
                  <c:v>1.4106210503329268</c:v>
                </c:pt>
                <c:pt idx="106">
                  <c:v>1.4143308562667165</c:v>
                </c:pt>
                <c:pt idx="107">
                  <c:v>1.4180417856605523</c:v>
                </c:pt>
                <c:pt idx="108">
                  <c:v>1.421754079936125</c:v>
                </c:pt>
                <c:pt idx="109">
                  <c:v>1.4254679892855344</c:v>
                </c:pt>
                <c:pt idx="110">
                  <c:v>1.4291837732280082</c:v>
                </c:pt>
                <c:pt idx="111">
                  <c:v>1.4329017012122216</c:v>
                </c:pt>
                <c:pt idx="112">
                  <c:v>1.4366220532689484</c:v>
                </c:pt>
                <c:pt idx="113">
                  <c:v>1.4403451207193387</c:v>
                </c:pt>
                <c:pt idx="114">
                  <c:v>1.4440712069448318</c:v>
                </c:pt>
                <c:pt idx="115">
                  <c:v>1.4478006282254461</c:v>
                </c:pt>
                <c:pt idx="116">
                  <c:v>1.4515337146541378</c:v>
                </c:pt>
                <c:pt idx="117">
                  <c:v>1.4552708111358765</c:v>
                </c:pt>
                <c:pt idx="118">
                  <c:v>1.4590122784813726</c:v>
                </c:pt>
                <c:pt idx="119">
                  <c:v>1.4627584946067025</c:v>
                </c:pt>
                <c:pt idx="120">
                  <c:v>1.4665098558517549</c:v>
                </c:pt>
                <c:pt idx="121">
                  <c:v>1.4702667784322663</c:v>
                </c:pt>
                <c:pt idx="122">
                  <c:v>1.4740297000424785</c:v>
                </c:pt>
                <c:pt idx="123">
                  <c:v>1.4777990816280131</c:v>
                </c:pt>
                <c:pt idx="124">
                  <c:v>1.4815754093516875</c:v>
                </c:pt>
                <c:pt idx="125">
                  <c:v>1.4853591967785957</c:v>
                </c:pt>
                <c:pt idx="126">
                  <c:v>1.4891509873111239</c:v>
                </c:pt>
                <c:pt idx="127">
                  <c:v>1.4929513569097939</c:v>
                </c:pt>
                <c:pt idx="128">
                  <c:v>1.4967609171419463</c:v>
                </c:pt>
                <c:pt idx="129">
                  <c:v>1.5005803186077911</c:v>
                </c:pt>
                <c:pt idx="130">
                  <c:v>1.5044102548023932</c:v>
                </c:pt>
                <c:pt idx="131">
                  <c:v>1.5082514664830589</c:v>
                </c:pt>
                <c:pt idx="132">
                  <c:v>1.5121047466250273</c:v>
                </c:pt>
                <c:pt idx="133">
                  <c:v>1.5159709460647892</c:v>
                </c:pt>
                <c:pt idx="134">
                  <c:v>1.5198509799506008</c:v>
                </c:pt>
                <c:pt idx="135">
                  <c:v>1.5237458351449489</c:v>
                </c:pt>
                <c:pt idx="136">
                  <c:v>1.5276565787551482</c:v>
                </c:pt>
                <c:pt idx="137">
                  <c:v>1.5315843680077781</c:v>
                </c:pt>
                <c:pt idx="138">
                  <c:v>1.5355304617326928</c:v>
                </c:pt>
                <c:pt idx="139">
                  <c:v>1.5394962337861589</c:v>
                </c:pt>
                <c:pt idx="140">
                  <c:v>1.5434831888247296</c:v>
                </c:pt>
                <c:pt idx="141">
                  <c:v>1.5474929809478202</c:v>
                </c:pt>
                <c:pt idx="142">
                  <c:v>1.5515274358660895</c:v>
                </c:pt>
                <c:pt idx="143">
                  <c:v>1.5555885774365181</c:v>
                </c:pt>
                <c:pt idx="144">
                  <c:v>1.5596786596503731</c:v>
                </c:pt>
                <c:pt idx="145">
                  <c:v>1.5638002054912665</c:v>
                </c:pt>
                <c:pt idx="146">
                  <c:v>1.5679560545327833</c:v>
                </c:pt>
                <c:pt idx="147">
                  <c:v>1.5721494217710987</c:v>
                </c:pt>
                <c:pt idx="148">
                  <c:v>1.5763839710668965</c:v>
                </c:pt>
                <c:pt idx="149">
                  <c:v>1.5806639078244011</c:v>
                </c:pt>
                <c:pt idx="150">
                  <c:v>1.5849940973538441</c:v>
                </c:pt>
                <c:pt idx="151">
                  <c:v>1.5893802180526375</c:v>
                </c:pt>
                <c:pt idx="152">
                  <c:v>1.5938289626003692</c:v>
                </c:pt>
                <c:pt idx="153">
                  <c:v>1.5983483066377104</c:v>
                </c:pt>
                <c:pt idx="154">
                  <c:v>1.6029478743559193</c:v>
                </c:pt>
                <c:pt idx="155">
                  <c:v>1.6076394466979418</c:v>
                </c:pt>
                <c:pt idx="156">
                  <c:v>1.612437685389551</c:v>
                </c:pt>
                <c:pt idx="157">
                  <c:v>1.6173611943994382</c:v>
                </c:pt>
                <c:pt idx="158">
                  <c:v>1.6224341294517362</c:v>
                </c:pt>
                <c:pt idx="159">
                  <c:v>1.6276887390978472</c:v>
                </c:pt>
                <c:pt idx="160">
                  <c:v>1.6331695790984819</c:v>
                </c:pt>
                <c:pt idx="161">
                  <c:v>1.6389409459654878</c:v>
                </c:pt>
                <c:pt idx="162">
                  <c:v>1.6451010727956192</c:v>
                </c:pt>
                <c:pt idx="163">
                  <c:v>1.6518123014955362</c:v>
                </c:pt>
                <c:pt idx="164">
                  <c:v>1.6593758699874803</c:v>
                </c:pt>
                <c:pt idx="165">
                  <c:v>1.6684690487033711</c:v>
                </c:pt>
                <c:pt idx="166">
                  <c:v>1.6813913222963466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C79D-4B9D-9E96-AF39BCA45E13}"/>
            </c:ext>
          </c:extLst>
        </c:ser>
        <c:ser>
          <c:idx val="24"/>
          <c:order val="2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BASIC!$X$3:$X$230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F-C79D-4B9D-9E96-AF39BCA45E13}"/>
            </c:ext>
          </c:extLst>
        </c:ser>
        <c:ser>
          <c:idx val="25"/>
          <c:order val="3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BASIC!$Z$3:$Z$230</c:f>
              <c:numCache>
                <c:formatCode>General</c:formatCode>
                <c:ptCount val="228"/>
                <c:pt idx="0">
                  <c:v>0.99933750805296717</c:v>
                </c:pt>
                <c:pt idx="1">
                  <c:v>1.0037510542113219</c:v>
                </c:pt>
                <c:pt idx="2">
                  <c:v>1.0081574469674501</c:v>
                </c:pt>
                <c:pt idx="3">
                  <c:v>1.0125567870077967</c:v>
                </c:pt>
                <c:pt idx="4">
                  <c:v>1.0169491737748657</c:v>
                </c:pt>
                <c:pt idx="5">
                  <c:v>1.0213347055045445</c:v>
                </c:pt>
                <c:pt idx="6">
                  <c:v>1.0257134792633278</c:v>
                </c:pt>
                <c:pt idx="7">
                  <c:v>1.0300855909854609</c:v>
                </c:pt>
                <c:pt idx="8">
                  <c:v>1.0344511355099792</c:v>
                </c:pt>
                <c:pt idx="9">
                  <c:v>1.0388102066177529</c:v>
                </c:pt>
                <c:pt idx="10">
                  <c:v>1.0431628970684736</c:v>
                </c:pt>
                <c:pt idx="11">
                  <c:v>1.0475092986376662</c:v>
                </c:pt>
                <c:pt idx="12">
                  <c:v>1.0518495021537271</c:v>
                </c:pt>
                <c:pt idx="13">
                  <c:v>1.05618359753503</c:v>
                </c:pt>
                <c:pt idx="14">
                  <c:v>1.0605116738271241</c:v>
                </c:pt>
                <c:pt idx="15">
                  <c:v>1.064833819240022</c:v>
                </c:pt>
                <c:pt idx="16">
                  <c:v>1.0691501211856773</c:v>
                </c:pt>
                <c:pt idx="17">
                  <c:v>1.0734606663155966</c:v>
                </c:pt>
                <c:pt idx="18">
                  <c:v>1.0777655405586797</c:v>
                </c:pt>
                <c:pt idx="19">
                  <c:v>1.0820648291592987</c:v>
                </c:pt>
                <c:pt idx="20">
                  <c:v>1.0863586167156289</c:v>
                </c:pt>
                <c:pt idx="21">
                  <c:v>1.0906469872183091</c:v>
                </c:pt>
                <c:pt idx="22">
                  <c:v>1.0949300240894224</c:v>
                </c:pt>
                <c:pt idx="23">
                  <c:v>1.0992078102218528</c:v>
                </c:pt>
                <c:pt idx="24">
                  <c:v>1.1034804280190529</c:v>
                </c:pt>
                <c:pt idx="25">
                  <c:v>1.1077479594352693</c:v>
                </c:pt>
                <c:pt idx="26">
                  <c:v>1.1120104860162356</c:v>
                </c:pt>
                <c:pt idx="27">
                  <c:v>1.1162680889404064</c:v>
                </c:pt>
                <c:pt idx="28">
                  <c:v>1.1205208490607623</c:v>
                </c:pt>
                <c:pt idx="29">
                  <c:v>1.1247688469472064</c:v>
                </c:pt>
                <c:pt idx="30">
                  <c:v>1.1290121629296466</c:v>
                </c:pt>
                <c:pt idx="31">
                  <c:v>1.133250877141752</c:v>
                </c:pt>
                <c:pt idx="32">
                  <c:v>1.1374850695654841</c:v>
                </c:pt>
                <c:pt idx="33">
                  <c:v>1.1417148200764151</c:v>
                </c:pt>
                <c:pt idx="34">
                  <c:v>1.1459402084899097</c:v>
                </c:pt>
                <c:pt idx="35">
                  <c:v>1.1501613146081937</c:v>
                </c:pt>
                <c:pt idx="36">
                  <c:v>1.154378218268423</c:v>
                </c:pt>
                <c:pt idx="37">
                  <c:v>1.1585909993917445</c:v>
                </c:pt>
                <c:pt idx="38">
                  <c:v>1.1627997380334603</c:v>
                </c:pt>
                <c:pt idx="39">
                  <c:v>1.1670045144343353</c:v>
                </c:pt>
                <c:pt idx="40">
                  <c:v>1.1712054090731281</c:v>
                </c:pt>
                <c:pt idx="41">
                  <c:v>1.1754025027204051</c:v>
                </c:pt>
                <c:pt idx="42">
                  <c:v>1.17959587649373</c:v>
                </c:pt>
                <c:pt idx="43">
                  <c:v>1.1837856119142895</c:v>
                </c:pt>
                <c:pt idx="44">
                  <c:v>1.187971790965038</c:v>
                </c:pt>
                <c:pt idx="45">
                  <c:v>1.19215449615047</c:v>
                </c:pt>
                <c:pt idx="46">
                  <c:v>1.1963338105580916</c:v>
                </c:pt>
                <c:pt idx="47">
                  <c:v>1.2005098179216789</c:v>
                </c:pt>
                <c:pt idx="48">
                  <c:v>1.2046826026864579</c:v>
                </c:pt>
                <c:pt idx="49">
                  <c:v>1.2088522500762893</c:v>
                </c:pt>
                <c:pt idx="50">
                  <c:v>1.2130188461629825</c:v>
                </c:pt>
                <c:pt idx="51">
                  <c:v>1.217182477937832</c:v>
                </c:pt>
                <c:pt idx="52">
                  <c:v>1.221343233385572</c:v>
                </c:pt>
                <c:pt idx="53">
                  <c:v>1.2255012015607956</c:v>
                </c:pt>
                <c:pt idx="54">
                  <c:v>1.2296564726670625</c:v>
                </c:pt>
                <c:pt idx="55">
                  <c:v>1.2338091381388054</c:v>
                </c:pt>
                <c:pt idx="56">
                  <c:v>1.2379592907261943</c:v>
                </c:pt>
                <c:pt idx="57">
                  <c:v>1.242107024583182</c:v>
                </c:pt>
                <c:pt idx="58">
                  <c:v>1.2462524353588489</c:v>
                </c:pt>
                <c:pt idx="59">
                  <c:v>1.2503956202922966</c:v>
                </c:pt>
                <c:pt idx="60">
                  <c:v>1.2545366783112912</c:v>
                </c:pt>
                <c:pt idx="61">
                  <c:v>1.2586757101348618</c:v>
                </c:pt>
                <c:pt idx="62">
                  <c:v>1.2628128183801235</c:v>
                </c:pt>
                <c:pt idx="63">
                  <c:v>1.2669481076735805</c:v>
                </c:pt>
                <c:pt idx="64">
                  <c:v>1.271081684767166</c:v>
                </c:pt>
                <c:pt idx="65">
                  <c:v>1.2752136586593468</c:v>
                </c:pt>
                <c:pt idx="66">
                  <c:v>1.2793441407216029</c:v>
                </c:pt>
                <c:pt idx="67">
                  <c:v>1.2834732448306192</c:v>
                </c:pt>
                <c:pt idx="68">
                  <c:v>1.2876010875065846</c:v>
                </c:pt>
                <c:pt idx="69">
                  <c:v>1.2917277880579654</c:v>
                </c:pt>
                <c:pt idx="70">
                  <c:v>1.2958534687332248</c:v>
                </c:pt>
                <c:pt idx="71">
                  <c:v>1.2999782548799286</c:v>
                </c:pt>
                <c:pt idx="72">
                  <c:v>1.3041022751117388</c:v>
                </c:pt>
                <c:pt idx="73">
                  <c:v>1.3082256614838801</c:v>
                </c:pt>
                <c:pt idx="74">
                  <c:v>1.3123485496776166</c:v>
                </c:pt>
                <c:pt idx="75">
                  <c:v>1.3164710791944119</c:v>
                </c:pt>
                <c:pt idx="76">
                  <c:v>1.3205933935604801</c:v>
                </c:pt>
                <c:pt idx="77">
                  <c:v>1.3247156405424407</c:v>
                </c:pt>
                <c:pt idx="78">
                  <c:v>1.3288379723749539</c:v>
                </c:pt>
                <c:pt idx="79">
                  <c:v>1.3329605460011649</c:v>
                </c:pt>
                <c:pt idx="80">
                  <c:v>1.3370835233270275</c:v>
                </c:pt>
                <c:pt idx="81">
                  <c:v>1.3412070714904625</c:v>
                </c:pt>
                <c:pt idx="82">
                  <c:v>1.3453313631466228</c:v>
                </c:pt>
                <c:pt idx="83">
                  <c:v>1.3494565767704481</c:v>
                </c:pt>
                <c:pt idx="84">
                  <c:v>1.3535828969779824</c:v>
                </c:pt>
                <c:pt idx="85">
                  <c:v>1.3577105148679747</c:v>
                </c:pt>
                <c:pt idx="86">
                  <c:v>1.3618396283853733</c:v>
                </c:pt>
                <c:pt idx="87">
                  <c:v>1.3659704427087216</c:v>
                </c:pt>
                <c:pt idx="88">
                  <c:v>1.3701031706633617</c:v>
                </c:pt>
                <c:pt idx="89">
                  <c:v>1.3742380331628019</c:v>
                </c:pt>
                <c:pt idx="90">
                  <c:v>1.3783752596807095</c:v>
                </c:pt>
                <c:pt idx="91">
                  <c:v>1.3825150887563475</c:v>
                </c:pt>
                <c:pt idx="92">
                  <c:v>1.3866577685364865</c:v>
                </c:pt>
                <c:pt idx="93">
                  <c:v>1.3908035573572846</c:v>
                </c:pt>
                <c:pt idx="94">
                  <c:v>1.3949527243699085</c:v>
                </c:pt>
                <c:pt idx="95">
                  <c:v>1.3991055502142247</c:v>
                </c:pt>
                <c:pt idx="96">
                  <c:v>1.4032623277452734</c:v>
                </c:pt>
                <c:pt idx="97">
                  <c:v>1.4074233628179644</c:v>
                </c:pt>
                <c:pt idx="98">
                  <c:v>1.41158897513598</c:v>
                </c:pt>
                <c:pt idx="99">
                  <c:v>1.4157594991716778</c:v>
                </c:pt>
                <c:pt idx="100">
                  <c:v>1.4199352851647091</c:v>
                </c:pt>
                <c:pt idx="101">
                  <c:v>1.4241167002079844</c:v>
                </c:pt>
                <c:pt idx="102">
                  <c:v>1.4283041294308989</c:v>
                </c:pt>
                <c:pt idx="103">
                  <c:v>1.4324979772910107</c:v>
                </c:pt>
                <c:pt idx="104">
                  <c:v>1.4366986689869985</c:v>
                </c:pt>
                <c:pt idx="105">
                  <c:v>1.4409066520075446</c:v>
                </c:pt>
                <c:pt idx="106">
                  <c:v>1.4451223978330272</c:v>
                </c:pt>
                <c:pt idx="107">
                  <c:v>1.4493464038093096</c:v>
                </c:pt>
                <c:pt idx="108">
                  <c:v>1.4535791952161474</c:v>
                </c:pt>
                <c:pt idx="109">
                  <c:v>1.4578213275560674</c:v>
                </c:pt>
                <c:pt idx="110">
                  <c:v>1.4620733890939968</c:v>
                </c:pt>
                <c:pt idx="111">
                  <c:v>1.4663360036828681</c:v>
                </c:pt>
                <c:pt idx="112">
                  <c:v>1.4706098339165528</c:v>
                </c:pt>
                <c:pt idx="113">
                  <c:v>1.4748955846587462</c:v>
                </c:pt>
                <c:pt idx="114">
                  <c:v>1.479194007005306</c:v>
                </c:pt>
                <c:pt idx="115">
                  <c:v>1.4835059027482476</c:v>
                </c:pt>
                <c:pt idx="116">
                  <c:v>1.4878321294227363</c:v>
                </c:pt>
                <c:pt idx="117">
                  <c:v>1.4921736060345696</c:v>
                </c:pt>
                <c:pt idx="118">
                  <c:v>1.4965313195854666</c:v>
                </c:pt>
                <c:pt idx="119">
                  <c:v>1.5009063325383531</c:v>
                </c:pt>
                <c:pt idx="120">
                  <c:v>1.5052997913955839</c:v>
                </c:pt>
                <c:pt idx="121">
                  <c:v>1.5097129366021198</c:v>
                </c:pt>
                <c:pt idx="122">
                  <c:v>1.5141471140349412</c:v>
                </c:pt>
                <c:pt idx="123">
                  <c:v>1.5186037884029813</c:v>
                </c:pt>
                <c:pt idx="124">
                  <c:v>1.5230845589629871</c:v>
                </c:pt>
                <c:pt idx="125">
                  <c:v>1.5275911780620195</c:v>
                </c:pt>
                <c:pt idx="126">
                  <c:v>1.5321255731552805</c:v>
                </c:pt>
                <c:pt idx="127">
                  <c:v>1.5366898731305469</c:v>
                </c:pt>
                <c:pt idx="128">
                  <c:v>1.54128644001469</c:v>
                </c:pt>
                <c:pt idx="129">
                  <c:v>1.545917907468076</c:v>
                </c:pt>
                <c:pt idx="130">
                  <c:v>1.5505872279251893</c:v>
                </c:pt>
                <c:pt idx="131">
                  <c:v>1.5552977308679445</c:v>
                </c:pt>
                <c:pt idx="132">
                  <c:v>1.5600531956033794</c:v>
                </c:pt>
                <c:pt idx="133">
                  <c:v>1.5648579431849183</c:v>
                </c:pt>
                <c:pt idx="134">
                  <c:v>1.5697169539640918</c:v>
                </c:pt>
                <c:pt idx="135">
                  <c:v>1.5746360200067189</c:v>
                </c:pt>
                <c:pt idx="136">
                  <c:v>1.5796219457823408</c:v>
                </c:pt>
                <c:pt idx="137">
                  <c:v>1.5846828170379108</c:v>
                </c:pt>
                <c:pt idx="138">
                  <c:v>1.5898283681782956</c:v>
                </c:pt>
                <c:pt idx="139">
                  <c:v>1.595070495679884</c:v>
                </c:pt>
                <c:pt idx="140">
                  <c:v>1.6004239945354957</c:v>
                </c:pt>
                <c:pt idx="141">
                  <c:v>1.605907647374393</c:v>
                </c:pt>
                <c:pt idx="142">
                  <c:v>1.611545894680219</c:v>
                </c:pt>
                <c:pt idx="143">
                  <c:v>1.6173715110634725</c:v>
                </c:pt>
                <c:pt idx="144">
                  <c:v>1.6234301325014291</c:v>
                </c:pt>
                <c:pt idx="145">
                  <c:v>1.6297884603721666</c:v>
                </c:pt>
                <c:pt idx="146">
                  <c:v>1.6365505380110905</c:v>
                </c:pt>
                <c:pt idx="147">
                  <c:v>1.6438943589045163</c:v>
                </c:pt>
                <c:pt idx="148">
                  <c:v>1.6521712238741983</c:v>
                </c:pt>
                <c:pt idx="149">
                  <c:v>1.6622788867183871</c:v>
                </c:pt>
                <c:pt idx="150">
                  <c:v>1.6789542324713218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0-C79D-4B9D-9E96-AF39BCA45E13}"/>
            </c:ext>
          </c:extLst>
        </c:ser>
        <c:ser>
          <c:idx val="26"/>
          <c:order val="4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BASIC!$AG$3:$AG$230</c:f>
              <c:numCache>
                <c:formatCode>General</c:formatCode>
                <c:ptCount val="228"/>
                <c:pt idx="0">
                  <c:v>1.7980034610763109</c:v>
                </c:pt>
                <c:pt idx="1">
                  <c:v>1.7974937299322786</c:v>
                </c:pt>
                <c:pt idx="2">
                  <c:v>1.7970018120329081</c:v>
                </c:pt>
                <c:pt idx="3">
                  <c:v>1.7965273582789791</c:v>
                </c:pt>
                <c:pt idx="4">
                  <c:v>1.796070023839893</c:v>
                </c:pt>
                <c:pt idx="5">
                  <c:v>1.795629468024516</c:v>
                </c:pt>
                <c:pt idx="6">
                  <c:v>1.795205354153552</c:v>
                </c:pt>
                <c:pt idx="7">
                  <c:v>1.7947973494333396</c:v>
                </c:pt>
                <c:pt idx="8">
                  <c:v>1.7944051248310544</c:v>
                </c:pt>
                <c:pt idx="9">
                  <c:v>1.7940283549511726</c:v>
                </c:pt>
                <c:pt idx="10">
                  <c:v>1.7936667179131669</c:v>
                </c:pt>
                <c:pt idx="11">
                  <c:v>1.793319895230334</c:v>
                </c:pt>
                <c:pt idx="12">
                  <c:v>1.7929875716896715</c:v>
                </c:pt>
                <c:pt idx="13">
                  <c:v>1.7926694352327108</c:v>
                </c:pt>
                <c:pt idx="14">
                  <c:v>1.7923651768372297</c:v>
                </c:pt>
                <c:pt idx="15">
                  <c:v>1.7920744903997572</c:v>
                </c:pt>
                <c:pt idx="16">
                  <c:v>1.7917970726187533</c:v>
                </c:pt>
                <c:pt idx="17">
                  <c:v>1.791532622878395</c:v>
                </c:pt>
                <c:pt idx="18">
                  <c:v>1.7912808431328398</c:v>
                </c:pt>
                <c:pt idx="19">
                  <c:v>1.791041437790905</c:v>
                </c:pt>
                <c:pt idx="20">
                  <c:v>1.7908141136009905</c:v>
                </c:pt>
                <c:pt idx="21">
                  <c:v>1.7905985795362245</c:v>
                </c:pt>
                <c:pt idx="22">
                  <c:v>1.7903945466796132</c:v>
                </c:pt>
                <c:pt idx="23">
                  <c:v>1.7902017281091716</c:v>
                </c:pt>
                <c:pt idx="24">
                  <c:v>1.7900198387828525</c:v>
                </c:pt>
                <c:pt idx="25">
                  <c:v>1.7898485954231527</c:v>
                </c:pt>
                <c:pt idx="26">
                  <c:v>1.7896877164012979</c:v>
                </c:pt>
                <c:pt idx="27">
                  <c:v>1.789536921620825</c:v>
                </c:pt>
                <c:pt idx="28">
                  <c:v>1.7893959324004303</c:v>
                </c:pt>
                <c:pt idx="29">
                  <c:v>1.7892644713559513</c:v>
                </c:pt>
                <c:pt idx="30">
                  <c:v>1.7891422622813087</c:v>
                </c:pt>
                <c:pt idx="31">
                  <c:v>1.7890290300282177</c:v>
                </c:pt>
                <c:pt idx="32">
                  <c:v>1.788924500384566</c:v>
                </c:pt>
                <c:pt idx="33">
                  <c:v>1.7888283999511898</c:v>
                </c:pt>
                <c:pt idx="34">
                  <c:v>1.7887404560169236</c:v>
                </c:pt>
                <c:pt idx="35">
                  <c:v>1.7886603964316987</c:v>
                </c:pt>
                <c:pt idx="36">
                  <c:v>1.788587949477473</c:v>
                </c:pt>
                <c:pt idx="37">
                  <c:v>1.7885228437367808</c:v>
                </c:pt>
                <c:pt idx="38">
                  <c:v>1.7884648079586718</c:v>
                </c:pt>
                <c:pt idx="39">
                  <c:v>1.7884135709217721</c:v>
                </c:pt>
                <c:pt idx="40">
                  <c:v>1.7883688612942439</c:v>
                </c:pt>
                <c:pt idx="41">
                  <c:v>1.7883304074903039</c:v>
                </c:pt>
                <c:pt idx="42">
                  <c:v>1.7882979375230919</c:v>
                </c:pt>
                <c:pt idx="43">
                  <c:v>1.7882711788534953</c:v>
                </c:pt>
                <c:pt idx="44">
                  <c:v>1.7882498582346511</c:v>
                </c:pt>
                <c:pt idx="45">
                  <c:v>1.7882337015517713</c:v>
                </c:pt>
                <c:pt idx="46">
                  <c:v>1.7882224336568762</c:v>
                </c:pt>
                <c:pt idx="47">
                  <c:v>1.7882157781980859</c:v>
                </c:pt>
                <c:pt idx="48">
                  <c:v>1.7882134574430255</c:v>
                </c:pt>
                <c:pt idx="49">
                  <c:v>1.7882151920958818</c:v>
                </c:pt>
                <c:pt idx="50">
                  <c:v>1.788220701107613</c:v>
                </c:pt>
                <c:pt idx="51">
                  <c:v>1.7882297014788513</c:v>
                </c:pt>
                <c:pt idx="52">
                  <c:v>1.7882419080548488</c:v>
                </c:pt>
                <c:pt idx="53">
                  <c:v>1.7882570333119507</c:v>
                </c:pt>
                <c:pt idx="54">
                  <c:v>1.7882747871348936</c:v>
                </c:pt>
                <c:pt idx="55">
                  <c:v>1.7882948765842741</c:v>
                </c:pt>
                <c:pt idx="56">
                  <c:v>1.7883170056534079</c:v>
                </c:pt>
                <c:pt idx="57">
                  <c:v>1.7883408750138077</c:v>
                </c:pt>
                <c:pt idx="58">
                  <c:v>1.7883661817483949</c:v>
                </c:pt>
                <c:pt idx="59">
                  <c:v>1.7883926190714914</c:v>
                </c:pt>
                <c:pt idx="60">
                  <c:v>1.7884198760346073</c:v>
                </c:pt>
                <c:pt idx="61">
                  <c:v>1.7884476372169056</c:v>
                </c:pt>
                <c:pt idx="62">
                  <c:v>1.7884755823991401</c:v>
                </c:pt>
                <c:pt idx="63">
                  <c:v>1.788503386219797</c:v>
                </c:pt>
                <c:pt idx="64">
                  <c:v>1.7885307178120151</c:v>
                </c:pt>
                <c:pt idx="65">
                  <c:v>1.7885572404197461</c:v>
                </c:pt>
                <c:pt idx="66">
                  <c:v>1.7885826109914917</c:v>
                </c:pt>
                <c:pt idx="67">
                  <c:v>1.788606479749796</c:v>
                </c:pt>
                <c:pt idx="68">
                  <c:v>1.7886284897344915</c:v>
                </c:pt>
                <c:pt idx="69">
                  <c:v>1.7886482763175129</c:v>
                </c:pt>
                <c:pt idx="70">
                  <c:v>1.7886654666869104</c:v>
                </c:pt>
                <c:pt idx="71">
                  <c:v>1.7886796792974062</c:v>
                </c:pt>
                <c:pt idx="72">
                  <c:v>1.7886905232846479</c:v>
                </c:pt>
                <c:pt idx="73">
                  <c:v>1.7886975978399491</c:v>
                </c:pt>
                <c:pt idx="74">
                  <c:v>1.7887004915420739</c:v>
                </c:pt>
                <c:pt idx="75">
                  <c:v>1.7886987816421402</c:v>
                </c:pt>
                <c:pt idx="76">
                  <c:v>1.7886920332974416</c:v>
                </c:pt>
                <c:pt idx="77">
                  <c:v>1.7886797987494301</c:v>
                </c:pt>
                <c:pt idx="78">
                  <c:v>1.7886616164406384</c:v>
                </c:pt>
                <c:pt idx="79">
                  <c:v>1.7886370100647075</c:v>
                </c:pt>
                <c:pt idx="80">
                  <c:v>1.7886054875430766</c:v>
                </c:pt>
                <c:pt idx="81">
                  <c:v>1.7885665399210797</c:v>
                </c:pt>
                <c:pt idx="82">
                  <c:v>1.7885196401754135</c:v>
                </c:pt>
                <c:pt idx="83">
                  <c:v>1.7884642419239472</c:v>
                </c:pt>
                <c:pt idx="84">
                  <c:v>1.7883997780277441</c:v>
                </c:pt>
                <c:pt idx="85">
                  <c:v>1.788325659073926</c:v>
                </c:pt>
                <c:pt idx="86">
                  <c:v>1.7882412717265912</c:v>
                </c:pt>
                <c:pt idx="87">
                  <c:v>1.7881459769312811</c:v>
                </c:pt>
                <c:pt idx="88">
                  <c:v>1.7880391079567068</c:v>
                </c:pt>
                <c:pt idx="89">
                  <c:v>1.7879199682551348</c:v>
                </c:pt>
                <c:pt idx="90">
                  <c:v>1.7877878291203497</c:v>
                </c:pt>
                <c:pt idx="91">
                  <c:v>1.7876419271191863</c:v>
                </c:pt>
                <c:pt idx="92">
                  <c:v>1.7874814612691359</c:v>
                </c:pt>
                <c:pt idx="93">
                  <c:v>1.787305589930541</c:v>
                </c:pt>
                <c:pt idx="94">
                  <c:v>1.7871134273771609</c:v>
                </c:pt>
                <c:pt idx="95">
                  <c:v>1.7869040400034246</c:v>
                </c:pt>
                <c:pt idx="96">
                  <c:v>1.7866764421200199</c:v>
                </c:pt>
                <c:pt idx="97">
                  <c:v>1.7864295912818127</c:v>
                </c:pt>
                <c:pt idx="98">
                  <c:v>1.7861623830828066</c:v>
                </c:pt>
                <c:pt idx="99">
                  <c:v>1.7858736453418298</c:v>
                </c:pt>
                <c:pt idx="100">
                  <c:v>1.7855621315893802</c:v>
                </c:pt>
                <c:pt idx="101">
                  <c:v>1.7852265137500749</c:v>
                </c:pt>
                <c:pt idx="102">
                  <c:v>1.7848653738958291</c:v>
                </c:pt>
                <c:pt idx="103">
                  <c:v>1.7844771949211953</c:v>
                </c:pt>
                <c:pt idx="104">
                  <c:v>1.7840603499636254</c:v>
                </c:pt>
                <c:pt idx="105">
                  <c:v>1.7836130903556064</c:v>
                </c:pt>
                <c:pt idx="106">
                  <c:v>1.7831335318517636</c:v>
                </c:pt>
                <c:pt idx="107">
                  <c:v>1.7826196388190827</c:v>
                </c:pt>
                <c:pt idx="108">
                  <c:v>1.7820692060094081</c:v>
                </c:pt>
                <c:pt idx="109">
                  <c:v>1.7814798374464047</c:v>
                </c:pt>
                <c:pt idx="110">
                  <c:v>1.7808489218481833</c:v>
                </c:pt>
                <c:pt idx="111">
                  <c:v>1.7801736038644616</c:v>
                </c:pt>
                <c:pt idx="112">
                  <c:v>1.779450750222686</c:v>
                </c:pt>
                <c:pt idx="113">
                  <c:v>1.7786769096367068</c:v>
                </c:pt>
                <c:pt idx="114">
                  <c:v>1.7778482650134504</c:v>
                </c:pt>
                <c:pt idx="115">
                  <c:v>1.7769605760688427</c:v>
                </c:pt>
                <c:pt idx="116">
                  <c:v>1.7760091098917288</c:v>
                </c:pt>
                <c:pt idx="117">
                  <c:v>1.7749885562122345</c:v>
                </c:pt>
                <c:pt idx="118">
                  <c:v>1.7738929230477158</c:v>
                </c:pt>
                <c:pt idx="119">
                  <c:v>1.7727154068765953</c:v>
                </c:pt>
                <c:pt idx="120">
                  <c:v>1.7714482293155907</c:v>
                </c:pt>
                <c:pt idx="121">
                  <c:v>1.7700824291130917</c:v>
                </c:pt>
                <c:pt idx="122">
                  <c:v>1.7686075935823051</c:v>
                </c:pt>
                <c:pt idx="123">
                  <c:v>1.7670115064911167</c:v>
                </c:pt>
                <c:pt idx="124">
                  <c:v>1.7652796783891829</c:v>
                </c:pt>
                <c:pt idx="125">
                  <c:v>1.7633947077362011</c:v>
                </c:pt>
                <c:pt idx="126">
                  <c:v>1.761335392184026</c:v>
                </c:pt>
                <c:pt idx="127">
                  <c:v>1.7590754598458362</c:v>
                </c:pt>
                <c:pt idx="128">
                  <c:v>1.7565817022855572</c:v>
                </c:pt>
                <c:pt idx="129">
                  <c:v>1.7538111263948208</c:v>
                </c:pt>
                <c:pt idx="130">
                  <c:v>1.7507064165498611</c:v>
                </c:pt>
                <c:pt idx="131">
                  <c:v>1.7471883063460625</c:v>
                </c:pt>
                <c:pt idx="132">
                  <c:v>1.7431418536105421</c:v>
                </c:pt>
                <c:pt idx="133">
                  <c:v>1.7383894403696372</c:v>
                </c:pt>
                <c:pt idx="134">
                  <c:v>1.7326306861481648</c:v>
                </c:pt>
                <c:pt idx="135">
                  <c:v>1.7252816942468745</c:v>
                </c:pt>
                <c:pt idx="136">
                  <c:v>1.7148849359864593</c:v>
                </c:pt>
                <c:pt idx="137">
                  <c:v>1.6942239096108969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C79D-4B9D-9E96-AF39BCA45E13}"/>
            </c:ext>
          </c:extLst>
        </c:ser>
        <c:ser>
          <c:idx val="27"/>
          <c:order val="5"/>
          <c:marker>
            <c:symbol val="none"/>
          </c:marker>
          <c:xVal>
            <c:numRef>
              <c:f>BASIC!$AF$3:$AF$230</c:f>
              <c:numCache>
                <c:formatCode>General</c:formatCode>
                <c:ptCount val="228"/>
                <c:pt idx="0">
                  <c:v>0.99931374563295394</c:v>
                </c:pt>
                <c:pt idx="1">
                  <c:v>1.0038849578137143</c:v>
                </c:pt>
                <c:pt idx="2">
                  <c:v>1.0084472613505648</c:v>
                </c:pt>
                <c:pt idx="3">
                  <c:v>1.0130007730521566</c:v>
                </c:pt>
                <c:pt idx="4">
                  <c:v>1.0175456089741812</c:v>
                </c:pt>
                <c:pt idx="5">
                  <c:v>1.0220818844542183</c:v>
                </c:pt>
                <c:pt idx="6">
                  <c:v>1.0266097141466439</c:v>
                </c:pt>
                <c:pt idx="7">
                  <c:v>1.0311292120575755</c:v>
                </c:pt>
                <c:pt idx="8">
                  <c:v>1.0356404915799566</c:v>
                </c:pt>
                <c:pt idx="9">
                  <c:v>1.0401436655287457</c:v>
                </c:pt>
                <c:pt idx="10">
                  <c:v>1.0446388461762719</c:v>
                </c:pt>
                <c:pt idx="11">
                  <c:v>1.0491261452877929</c:v>
                </c:pt>
                <c:pt idx="12">
                  <c:v>1.0536056741572704</c:v>
                </c:pt>
                <c:pt idx="13">
                  <c:v>1.058077543643408</c:v>
                </c:pt>
                <c:pt idx="14">
                  <c:v>1.062541864205985</c:v>
                </c:pt>
                <c:pt idx="15">
                  <c:v>1.0669987459425283</c:v>
                </c:pt>
                <c:pt idx="16">
                  <c:v>1.0714482986253449</c:v>
                </c:pt>
                <c:pt idx="17">
                  <c:v>1.0758906317389783</c:v>
                </c:pt>
                <c:pt idx="18">
                  <c:v>1.0803258545181003</c:v>
                </c:pt>
                <c:pt idx="19">
                  <c:v>1.0847540759859242</c:v>
                </c:pt>
                <c:pt idx="20">
                  <c:v>1.0891754049931284</c:v>
                </c:pt>
                <c:pt idx="21">
                  <c:v>1.0935899502573998</c:v>
                </c:pt>
                <c:pt idx="22">
                  <c:v>1.0979978204035874</c:v>
                </c:pt>
                <c:pt idx="23">
                  <c:v>1.1023991240045696</c:v>
                </c:pt>
                <c:pt idx="24">
                  <c:v>1.1067939696228546</c:v>
                </c:pt>
                <c:pt idx="25">
                  <c:v>1.1111824658529836</c:v>
                </c:pt>
                <c:pt idx="26">
                  <c:v>1.1155647213648086</c:v>
                </c:pt>
                <c:pt idx="27">
                  <c:v>1.1199408449476846</c:v>
                </c:pt>
                <c:pt idx="28">
                  <c:v>1.1243109455556595</c:v>
                </c:pt>
                <c:pt idx="29">
                  <c:v>1.1286751323537336</c:v>
                </c:pt>
                <c:pt idx="30">
                  <c:v>1.1330335147652635</c:v>
                </c:pt>
                <c:pt idx="31">
                  <c:v>1.1373862025205654</c:v>
                </c:pt>
                <c:pt idx="32">
                  <c:v>1.1417333057068535</c:v>
                </c:pt>
                <c:pt idx="33">
                  <c:v>1.1460749348195349</c:v>
                </c:pt>
                <c:pt idx="34">
                  <c:v>1.1504112008150191</c:v>
                </c:pt>
                <c:pt idx="35">
                  <c:v>1.1547422151651017</c:v>
                </c:pt>
                <c:pt idx="36">
                  <c:v>1.159068089913037</c:v>
                </c:pt>
                <c:pt idx="37">
                  <c:v>1.163388937731423</c:v>
                </c:pt>
                <c:pt idx="38">
                  <c:v>1.1677048719820091</c:v>
                </c:pt>
                <c:pt idx="39">
                  <c:v>1.1720160067775527</c:v>
                </c:pt>
                <c:pt idx="40">
                  <c:v>1.1763224570458735</c:v>
                </c:pt>
                <c:pt idx="41">
                  <c:v>1.1806243385962252</c:v>
                </c:pt>
                <c:pt idx="42">
                  <c:v>1.1849217681881827</c:v>
                </c:pt>
                <c:pt idx="43">
                  <c:v>1.1892148636031594</c:v>
                </c:pt>
                <c:pt idx="44">
                  <c:v>1.1935037437187745</c:v>
                </c:pt>
                <c:pt idx="45">
                  <c:v>1.1977885285862369</c:v>
                </c:pt>
                <c:pt idx="46">
                  <c:v>1.2020693395109567</c:v>
                </c:pt>
                <c:pt idx="47">
                  <c:v>1.2063462991366001</c:v>
                </c:pt>
                <c:pt idx="48">
                  <c:v>1.2106195315328308</c:v>
                </c:pt>
                <c:pt idx="49">
                  <c:v>1.2148891622869842</c:v>
                </c:pt>
                <c:pt idx="50">
                  <c:v>1.2191553185999238</c:v>
                </c:pt>
                <c:pt idx="51">
                  <c:v>1.223418129386433</c:v>
                </c:pt>
                <c:pt idx="52">
                  <c:v>1.2276777253803743</c:v>
                </c:pt>
                <c:pt idx="53">
                  <c:v>1.2319342392450277</c:v>
                </c:pt>
                <c:pt idx="54">
                  <c:v>1.2361878056889293</c:v>
                </c:pt>
                <c:pt idx="55">
                  <c:v>1.2404385615876299</c:v>
                </c:pt>
                <c:pt idx="56">
                  <c:v>1.2446866461117845</c:v>
                </c:pt>
                <c:pt idx="57">
                  <c:v>1.2489322008620474</c:v>
                </c:pt>
                <c:pt idx="58">
                  <c:v>1.2531753700112871</c:v>
                </c:pt>
                <c:pt idx="59">
                  <c:v>1.2574163004546239</c:v>
                </c:pt>
                <c:pt idx="60">
                  <c:v>1.2616551419679352</c:v>
                </c:pt>
                <c:pt idx="61">
                  <c:v>1.265892047375438</c:v>
                </c:pt>
                <c:pt idx="62">
                  <c:v>1.2701271727270611</c:v>
                </c:pt>
                <c:pt idx="63">
                  <c:v>1.2743606774863565</c:v>
                </c:pt>
                <c:pt idx="64">
                  <c:v>1.2785927247298214</c:v>
                </c:pt>
                <c:pt idx="65">
                  <c:v>1.2828234813584887</c:v>
                </c:pt>
                <c:pt idx="66">
                  <c:v>1.2870531183228235</c:v>
                </c:pt>
                <c:pt idx="67">
                  <c:v>1.291281810861985</c:v>
                </c:pt>
                <c:pt idx="68">
                  <c:v>1.2955097387586763</c:v>
                </c:pt>
                <c:pt idx="69">
                  <c:v>1.2997370866108715</c:v>
                </c:pt>
                <c:pt idx="70">
                  <c:v>1.3039640441218592</c:v>
                </c:pt>
                <c:pt idx="71">
                  <c:v>1.308190806410207</c:v>
                </c:pt>
                <c:pt idx="72">
                  <c:v>1.3124175743413831</c:v>
                </c:pt>
                <c:pt idx="73">
                  <c:v>1.3166445548829542</c:v>
                </c:pt>
                <c:pt idx="74">
                  <c:v>1.3208719614855138</c:v>
                </c:pt>
                <c:pt idx="75">
                  <c:v>1.3251000144916725</c:v>
                </c:pt>
                <c:pt idx="76">
                  <c:v>1.3293289415757501</c:v>
                </c:pt>
                <c:pt idx="77">
                  <c:v>1.3335589782170605</c:v>
                </c:pt>
                <c:pt idx="78">
                  <c:v>1.3377903682100312</c:v>
                </c:pt>
                <c:pt idx="79">
                  <c:v>1.3420233642147337</c:v>
                </c:pt>
                <c:pt idx="80">
                  <c:v>1.3462582283518787</c:v>
                </c:pt>
                <c:pt idx="81">
                  <c:v>1.3504952328467386</c:v>
                </c:pt>
                <c:pt idx="82">
                  <c:v>1.3547346607270343</c:v>
                </c:pt>
                <c:pt idx="83">
                  <c:v>1.3589768065804602</c:v>
                </c:pt>
                <c:pt idx="84">
                  <c:v>1.3632219773781797</c:v>
                </c:pt>
                <c:pt idx="85">
                  <c:v>1.3674704933714508</c:v>
                </c:pt>
                <c:pt idx="86">
                  <c:v>1.3717226890694978</c:v>
                </c:pt>
                <c:pt idx="87">
                  <c:v>1.3759789143077727</c:v>
                </c:pt>
                <c:pt idx="88">
                  <c:v>1.3802395354170025</c:v>
                </c:pt>
                <c:pt idx="89">
                  <c:v>1.3845049365048676</c:v>
                </c:pt>
                <c:pt idx="90">
                  <c:v>1.3887755208637766</c:v>
                </c:pt>
                <c:pt idx="91">
                  <c:v>1.3930517125201733</c:v>
                </c:pt>
                <c:pt idx="92">
                  <c:v>1.3973339579430926</c:v>
                </c:pt>
                <c:pt idx="93">
                  <c:v>1.4016227279322455</c:v>
                </c:pt>
                <c:pt idx="94">
                  <c:v>1.4059185197091464</c:v>
                </c:pt>
                <c:pt idx="95">
                  <c:v>1.4102218592384139</c:v>
                </c:pt>
                <c:pt idx="96">
                  <c:v>1.414533303810741</c:v>
                </c:pt>
                <c:pt idx="97">
                  <c:v>1.4188534449242587</c:v>
                </c:pt>
                <c:pt idx="98">
                  <c:v>1.4231829115071708</c:v>
                </c:pt>
                <c:pt idx="99">
                  <c:v>1.4275223735320248</c:v>
                </c:pt>
                <c:pt idx="100">
                  <c:v>1.4318725460809003</c:v>
                </c:pt>
                <c:pt idx="101">
                  <c:v>1.4362341939316494</c:v>
                </c:pt>
                <c:pt idx="102">
                  <c:v>1.4406081367485359</c:v>
                </c:pt>
                <c:pt idx="103">
                  <c:v>1.4449952549766811</c:v>
                </c:pt>
                <c:pt idx="104">
                  <c:v>1.4493964965596156</c:v>
                </c:pt>
                <c:pt idx="105">
                  <c:v>1.4538128846236165</c:v>
                </c:pt>
                <c:pt idx="106">
                  <c:v>1.4582455263030736</c:v>
                </c:pt>
                <c:pt idx="107">
                  <c:v>1.4626956229191517</c:v>
                </c:pt>
                <c:pt idx="108">
                  <c:v>1.4671644817720977</c:v>
                </c:pt>
                <c:pt idx="109">
                  <c:v>1.4716535298684312</c:v>
                </c:pt>
                <c:pt idx="110">
                  <c:v>1.4761643299822695</c:v>
                </c:pt>
                <c:pt idx="111">
                  <c:v>1.4806985995504827</c:v>
                </c:pt>
                <c:pt idx="112">
                  <c:v>1.4852582330321158</c:v>
                </c:pt>
                <c:pt idx="113">
                  <c:v>1.489845328534152</c:v>
                </c:pt>
                <c:pt idx="114">
                  <c:v>1.4944622197332307</c:v>
                </c:pt>
                <c:pt idx="115">
                  <c:v>1.4991115144280944</c:v>
                </c:pt>
                <c:pt idx="116">
                  <c:v>1.5037961414712591</c:v>
                </c:pt>
                <c:pt idx="117">
                  <c:v>1.508519408396767</c:v>
                </c:pt>
                <c:pt idx="118">
                  <c:v>1.51328507285229</c:v>
                </c:pt>
                <c:pt idx="119">
                  <c:v>1.5180974320625342</c:v>
                </c:pt>
                <c:pt idx="120">
                  <c:v>1.5229614361583883</c:v>
                </c:pt>
                <c:pt idx="121">
                  <c:v>1.5278828335582337</c:v>
                </c:pt>
                <c:pt idx="122">
                  <c:v>1.5328683600986088</c:v>
                </c:pt>
                <c:pt idx="123">
                  <c:v>1.5379259889696688</c:v>
                </c:pt>
                <c:pt idx="124">
                  <c:v>1.543065266894899</c:v>
                </c:pt>
                <c:pt idx="125">
                  <c:v>1.5482977754859035</c:v>
                </c:pt>
                <c:pt idx="126">
                  <c:v>1.5536377791166516</c:v>
                </c:pt>
                <c:pt idx="127">
                  <c:v>1.559103159283137</c:v>
                </c:pt>
                <c:pt idx="128">
                  <c:v>1.5647168048479445</c:v>
                </c:pt>
                <c:pt idx="129">
                  <c:v>1.5705087587687354</c:v>
                </c:pt>
                <c:pt idx="130">
                  <c:v>1.5765196850029661</c:v>
                </c:pt>
                <c:pt idx="131">
                  <c:v>1.5828067864300188</c:v>
                </c:pt>
                <c:pt idx="132">
                  <c:v>1.5894546426813387</c:v>
                </c:pt>
                <c:pt idx="133">
                  <c:v>1.5965969831859235</c:v>
                </c:pt>
                <c:pt idx="134">
                  <c:v>1.6044664119939251</c:v>
                </c:pt>
                <c:pt idx="135">
                  <c:v>1.6135320082201567</c:v>
                </c:pt>
                <c:pt idx="136">
                  <c:v>1.6250298525627445</c:v>
                </c:pt>
                <c:pt idx="137">
                  <c:v>1.6458108131385232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2-C79D-4B9D-9E96-AF39BCA45E13}"/>
            </c:ext>
          </c:extLst>
        </c:ser>
        <c:ser>
          <c:idx val="28"/>
          <c:order val="6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BASIC!$AA$3:$AA$230</c:f>
              <c:numCache>
                <c:formatCode>General</c:formatCode>
                <c:ptCount val="228"/>
                <c:pt idx="0">
                  <c:v>1.8069559969774449</c:v>
                </c:pt>
                <c:pt idx="1">
                  <c:v>1.8064890259302731</c:v>
                </c:pt>
                <c:pt idx="2">
                  <c:v>1.8060402493455878</c:v>
                </c:pt>
                <c:pt idx="3">
                  <c:v>1.8056093490803498</c:v>
                </c:pt>
                <c:pt idx="4">
                  <c:v>1.8051960109803664</c:v>
                </c:pt>
                <c:pt idx="5">
                  <c:v>1.8047999247841711</c:v>
                </c:pt>
                <c:pt idx="6">
                  <c:v>1.8044207840280946</c:v>
                </c:pt>
                <c:pt idx="7">
                  <c:v>1.8040582859525034</c:v>
                </c:pt>
                <c:pt idx="8">
                  <c:v>1.8037121314090641</c:v>
                </c:pt>
                <c:pt idx="9">
                  <c:v>1.8033820247690462</c:v>
                </c:pt>
                <c:pt idx="10">
                  <c:v>1.8030676738325524</c:v>
                </c:pt>
                <c:pt idx="11">
                  <c:v>1.8027687897385882</c:v>
                </c:pt>
                <c:pt idx="12">
                  <c:v>1.8024850868759643</c:v>
                </c:pt>
                <c:pt idx="13">
                  <c:v>1.8022162827949164</c:v>
                </c:pt>
                <c:pt idx="14">
                  <c:v>1.8019620981193973</c:v>
                </c:pt>
                <c:pt idx="15">
                  <c:v>1.8017222564599484</c:v>
                </c:pt>
                <c:pt idx="16">
                  <c:v>1.801496484327137</c:v>
                </c:pt>
                <c:pt idx="17">
                  <c:v>1.8012845110454323</c:v>
                </c:pt>
                <c:pt idx="18">
                  <c:v>1.8010860686675036</c:v>
                </c:pt>
                <c:pt idx="19">
                  <c:v>1.8009008918888703</c:v>
                </c:pt>
                <c:pt idx="20">
                  <c:v>1.8007287179628013</c:v>
                </c:pt>
                <c:pt idx="21">
                  <c:v>1.8005692866154885</c:v>
                </c:pt>
                <c:pt idx="22">
                  <c:v>1.8004223399613517</c:v>
                </c:pt>
                <c:pt idx="23">
                  <c:v>1.8002876224184599</c:v>
                </c:pt>
                <c:pt idx="24">
                  <c:v>1.8001648806240054</c:v>
                </c:pt>
                <c:pt idx="25">
                  <c:v>1.8000538633497936</c:v>
                </c:pt>
                <c:pt idx="26">
                  <c:v>1.7999543214176583</c:v>
                </c:pt>
                <c:pt idx="27">
                  <c:v>1.7998660076147777</c:v>
                </c:pt>
                <c:pt idx="28">
                  <c:v>1.7997886766088369</c:v>
                </c:pt>
                <c:pt idx="29">
                  <c:v>1.7997220848629747</c:v>
                </c:pt>
                <c:pt idx="30">
                  <c:v>1.7996659905504677</c:v>
                </c:pt>
                <c:pt idx="31">
                  <c:v>1.7996201534690996</c:v>
                </c:pt>
                <c:pt idx="32">
                  <c:v>1.7995843349551675</c:v>
                </c:pt>
                <c:pt idx="33">
                  <c:v>1.7995582977970654</c:v>
                </c:pt>
                <c:pt idx="34">
                  <c:v>1.7995418061483948</c:v>
                </c:pt>
                <c:pt idx="35">
                  <c:v>1.7995346254405247</c:v>
                </c:pt>
                <c:pt idx="36">
                  <c:v>1.7995365222945843</c:v>
                </c:pt>
                <c:pt idx="37">
                  <c:v>1.7995472644327992</c:v>
                </c:pt>
                <c:pt idx="38">
                  <c:v>1.7995666205890881</c:v>
                </c:pt>
                <c:pt idx="39">
                  <c:v>1.7995943604188875</c:v>
                </c:pt>
                <c:pt idx="40">
                  <c:v>1.799630254408118</c:v>
                </c:pt>
                <c:pt idx="41">
                  <c:v>1.7996740737812091</c:v>
                </c:pt>
                <c:pt idx="42">
                  <c:v>1.7997255904080958</c:v>
                </c:pt>
                <c:pt idx="43">
                  <c:v>1.7997845767101206</c:v>
                </c:pt>
                <c:pt idx="44">
                  <c:v>1.7998508055647062</c:v>
                </c:pt>
                <c:pt idx="45">
                  <c:v>1.7999240502087535</c:v>
                </c:pt>
                <c:pt idx="46">
                  <c:v>1.800004084140588</c:v>
                </c:pt>
                <c:pt idx="47">
                  <c:v>1.8000906810203972</c:v>
                </c:pt>
                <c:pt idx="48">
                  <c:v>1.8001836145689711</c:v>
                </c:pt>
                <c:pt idx="49">
                  <c:v>1.8002826584646967</c:v>
                </c:pt>
                <c:pt idx="50">
                  <c:v>1.800387586238535</c:v>
                </c:pt>
                <c:pt idx="51">
                  <c:v>1.800498171166943</c:v>
                </c:pt>
                <c:pt idx="52">
                  <c:v>1.8006141861624902</c:v>
                </c:pt>
                <c:pt idx="53">
                  <c:v>1.8007354036620364</c:v>
                </c:pt>
                <c:pt idx="54">
                  <c:v>1.8008615955122109</c:v>
                </c:pt>
                <c:pt idx="55">
                  <c:v>1.8009925328520646</c:v>
                </c:pt>
                <c:pt idx="56">
                  <c:v>1.8011279859925959</c:v>
                </c:pt>
                <c:pt idx="57">
                  <c:v>1.8012677242929287</c:v>
                </c:pt>
                <c:pt idx="58">
                  <c:v>1.8014115160329121</c:v>
                </c:pt>
                <c:pt idx="59">
                  <c:v>1.8015591282817842</c:v>
                </c:pt>
                <c:pt idx="60">
                  <c:v>1.8017103267626977</c:v>
                </c:pt>
                <c:pt idx="61">
                  <c:v>1.8018648757126776</c:v>
                </c:pt>
                <c:pt idx="62">
                  <c:v>1.8020225377377324</c:v>
                </c:pt>
                <c:pt idx="63">
                  <c:v>1.8021830736627429</c:v>
                </c:pt>
                <c:pt idx="64">
                  <c:v>1.8023462423756578</c:v>
                </c:pt>
                <c:pt idx="65">
                  <c:v>1.8025118006656378</c:v>
                </c:pt>
                <c:pt idx="66">
                  <c:v>1.8026795030546461</c:v>
                </c:pt>
                <c:pt idx="67">
                  <c:v>1.8028491016219799</c:v>
                </c:pt>
                <c:pt idx="68">
                  <c:v>1.8030203458212108</c:v>
                </c:pt>
                <c:pt idx="69">
                  <c:v>1.8031929822889554</c:v>
                </c:pt>
                <c:pt idx="70">
                  <c:v>1.8033667546448138</c:v>
                </c:pt>
                <c:pt idx="71">
                  <c:v>1.8035414032818364</c:v>
                </c:pt>
                <c:pt idx="72">
                  <c:v>1.8037166651467591</c:v>
                </c:pt>
                <c:pt idx="73">
                  <c:v>1.8038922735092091</c:v>
                </c:pt>
                <c:pt idx="74">
                  <c:v>1.8040679577190188</c:v>
                </c:pt>
                <c:pt idx="75">
                  <c:v>1.8042434429507204</c:v>
                </c:pt>
                <c:pt idx="76">
                  <c:v>1.8044184499341924</c:v>
                </c:pt>
                <c:pt idx="77">
                  <c:v>1.8045926946703488</c:v>
                </c:pt>
                <c:pt idx="78">
                  <c:v>1.804765888130669</c:v>
                </c:pt>
                <c:pt idx="79">
                  <c:v>1.8049377359392469</c:v>
                </c:pt>
                <c:pt idx="80">
                  <c:v>1.8051079380359598</c:v>
                </c:pt>
                <c:pt idx="81">
                  <c:v>1.8052761883190784</c:v>
                </c:pt>
                <c:pt idx="82">
                  <c:v>1.8054421742657771</c:v>
                </c:pt>
                <c:pt idx="83">
                  <c:v>1.8056055765284615</c:v>
                </c:pt>
                <c:pt idx="84">
                  <c:v>1.8057660685049486</c:v>
                </c:pt>
                <c:pt idx="85">
                  <c:v>1.8059233158802741</c:v>
                </c:pt>
                <c:pt idx="86">
                  <c:v>1.8060769761374187</c:v>
                </c:pt>
                <c:pt idx="87">
                  <c:v>1.8062266980344144</c:v>
                </c:pt>
                <c:pt idx="88">
                  <c:v>1.8063721210445647</c:v>
                </c:pt>
                <c:pt idx="89">
                  <c:v>1.8065128747565291</c:v>
                </c:pt>
                <c:pt idx="90">
                  <c:v>1.8066485782304118</c:v>
                </c:pt>
                <c:pt idx="91">
                  <c:v>1.8067788393057238</c:v>
                </c:pt>
                <c:pt idx="92">
                  <c:v>1.8069032538565184</c:v>
                </c:pt>
                <c:pt idx="93">
                  <c:v>1.8070214049885371</c:v>
                </c:pt>
                <c:pt idx="94">
                  <c:v>1.8071328621725555</c:v>
                </c:pt>
                <c:pt idx="95">
                  <c:v>1.8072371803074117</c:v>
                </c:pt>
                <c:pt idx="96">
                  <c:v>1.807333898705425</c:v>
                </c:pt>
                <c:pt idx="97">
                  <c:v>1.8074225399920472</c:v>
                </c:pt>
                <c:pt idx="98">
                  <c:v>1.8075026089104691</c:v>
                </c:pt>
                <c:pt idx="99">
                  <c:v>1.807573591020774</c:v>
                </c:pt>
                <c:pt idx="100">
                  <c:v>1.8076349512818763</c:v>
                </c:pt>
                <c:pt idx="101">
                  <c:v>1.8076861325027975</c:v>
                </c:pt>
                <c:pt idx="102">
                  <c:v>1.8077265536481635</c:v>
                </c:pt>
                <c:pt idx="103">
                  <c:v>1.8077556079805261</c:v>
                </c:pt>
                <c:pt idx="104">
                  <c:v>1.8077726610197176</c:v>
                </c:pt>
                <c:pt idx="105">
                  <c:v>1.8077770482965787</c:v>
                </c:pt>
                <c:pt idx="106">
                  <c:v>1.8077680728749632</c:v>
                </c:pt>
                <c:pt idx="107">
                  <c:v>1.807745002611947</c:v>
                </c:pt>
                <c:pt idx="108">
                  <c:v>1.8077070671216</c:v>
                </c:pt>
                <c:pt idx="109">
                  <c:v>1.8076534544019351</c:v>
                </c:pt>
                <c:pt idx="110">
                  <c:v>1.8075833070782956</c:v>
                </c:pt>
                <c:pt idx="111">
                  <c:v>1.807495718208417</c:v>
                </c:pt>
                <c:pt idx="112">
                  <c:v>1.8073897265851018</c:v>
                </c:pt>
                <c:pt idx="113">
                  <c:v>1.8072643114611315</c:v>
                </c:pt>
                <c:pt idx="114">
                  <c:v>1.8071183866074036</c:v>
                </c:pt>
                <c:pt idx="115">
                  <c:v>1.8069507935987592</c:v>
                </c:pt>
                <c:pt idx="116">
                  <c:v>1.806760294201736</c:v>
                </c:pt>
                <c:pt idx="117">
                  <c:v>1.8065455617138655</c:v>
                </c:pt>
                <c:pt idx="118">
                  <c:v>1.806305171073479</c:v>
                </c:pt>
                <c:pt idx="119">
                  <c:v>1.8060375875214245</c:v>
                </c:pt>
                <c:pt idx="120">
                  <c:v>1.8057411535486874</c:v>
                </c:pt>
                <c:pt idx="121">
                  <c:v>1.8054140738049071</c:v>
                </c:pt>
                <c:pt idx="122">
                  <c:v>1.8050543975677598</c:v>
                </c:pt>
                <c:pt idx="123">
                  <c:v>1.8046599982777947</c:v>
                </c:pt>
                <c:pt idx="124">
                  <c:v>1.8042285495207473</c:v>
                </c:pt>
                <c:pt idx="125">
                  <c:v>1.8037574966805436</c:v>
                </c:pt>
                <c:pt idx="126">
                  <c:v>1.8032440232788038</c:v>
                </c:pt>
                <c:pt idx="127">
                  <c:v>1.8026850107424714</c:v>
                </c:pt>
                <c:pt idx="128">
                  <c:v>1.8020769899760121</c:v>
                </c:pt>
                <c:pt idx="129">
                  <c:v>1.8014160826210939</c:v>
                </c:pt>
                <c:pt idx="130">
                  <c:v>1.8006979292132947</c:v>
                </c:pt>
                <c:pt idx="131">
                  <c:v>1.7999176005121906</c:v>
                </c:pt>
                <c:pt idx="132">
                  <c:v>1.7990694869707493</c:v>
                </c:pt>
                <c:pt idx="133">
                  <c:v>1.7981471594382912</c:v>
                </c:pt>
                <c:pt idx="134">
                  <c:v>1.7971431914719771</c:v>
                </c:pt>
                <c:pt idx="135">
                  <c:v>1.7960489296012967</c:v>
                </c:pt>
                <c:pt idx="136">
                  <c:v>1.7948541917869199</c:v>
                </c:pt>
                <c:pt idx="137">
                  <c:v>1.7935468648435384</c:v>
                </c:pt>
                <c:pt idx="138">
                  <c:v>1.7921123564911663</c:v>
                </c:pt>
                <c:pt idx="139">
                  <c:v>1.7905328328451047</c:v>
                </c:pt>
                <c:pt idx="140">
                  <c:v>1.7887861297734637</c:v>
                </c:pt>
                <c:pt idx="141">
                  <c:v>1.7868441512255133</c:v>
                </c:pt>
                <c:pt idx="142">
                  <c:v>1.784670427080487</c:v>
                </c:pt>
                <c:pt idx="143">
                  <c:v>1.7822162251205813</c:v>
                </c:pt>
                <c:pt idx="144">
                  <c:v>1.7794140218670615</c:v>
                </c:pt>
                <c:pt idx="145">
                  <c:v>1.7761657698892368</c:v>
                </c:pt>
                <c:pt idx="146">
                  <c:v>1.7723198494418408</c:v>
                </c:pt>
                <c:pt idx="147">
                  <c:v>1.7676198460724475</c:v>
                </c:pt>
                <c:pt idx="148">
                  <c:v>1.7615676271111027</c:v>
                </c:pt>
                <c:pt idx="149">
                  <c:v>1.7529199578819783</c:v>
                </c:pt>
                <c:pt idx="150">
                  <c:v>1.7354342175429409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C79D-4B9D-9E96-AF39BCA45E13}"/>
            </c:ext>
          </c:extLst>
        </c:ser>
        <c:ser>
          <c:idx val="29"/>
          <c:order val="7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BASIC!$Z$3:$Z$230</c:f>
              <c:numCache>
                <c:formatCode>General</c:formatCode>
                <c:ptCount val="228"/>
                <c:pt idx="0">
                  <c:v>0.99933750805296717</c:v>
                </c:pt>
                <c:pt idx="1">
                  <c:v>1.0037510542113219</c:v>
                </c:pt>
                <c:pt idx="2">
                  <c:v>1.0081574469674501</c:v>
                </c:pt>
                <c:pt idx="3">
                  <c:v>1.0125567870077967</c:v>
                </c:pt>
                <c:pt idx="4">
                  <c:v>1.0169491737748657</c:v>
                </c:pt>
                <c:pt idx="5">
                  <c:v>1.0213347055045445</c:v>
                </c:pt>
                <c:pt idx="6">
                  <c:v>1.0257134792633278</c:v>
                </c:pt>
                <c:pt idx="7">
                  <c:v>1.0300855909854609</c:v>
                </c:pt>
                <c:pt idx="8">
                  <c:v>1.0344511355099792</c:v>
                </c:pt>
                <c:pt idx="9">
                  <c:v>1.0388102066177529</c:v>
                </c:pt>
                <c:pt idx="10">
                  <c:v>1.0431628970684736</c:v>
                </c:pt>
                <c:pt idx="11">
                  <c:v>1.0475092986376662</c:v>
                </c:pt>
                <c:pt idx="12">
                  <c:v>1.0518495021537271</c:v>
                </c:pt>
                <c:pt idx="13">
                  <c:v>1.05618359753503</c:v>
                </c:pt>
                <c:pt idx="14">
                  <c:v>1.0605116738271241</c:v>
                </c:pt>
                <c:pt idx="15">
                  <c:v>1.064833819240022</c:v>
                </c:pt>
                <c:pt idx="16">
                  <c:v>1.0691501211856773</c:v>
                </c:pt>
                <c:pt idx="17">
                  <c:v>1.0734606663155966</c:v>
                </c:pt>
                <c:pt idx="18">
                  <c:v>1.0777655405586797</c:v>
                </c:pt>
                <c:pt idx="19">
                  <c:v>1.0820648291592987</c:v>
                </c:pt>
                <c:pt idx="20">
                  <c:v>1.0863586167156289</c:v>
                </c:pt>
                <c:pt idx="21">
                  <c:v>1.0906469872183091</c:v>
                </c:pt>
                <c:pt idx="22">
                  <c:v>1.0949300240894224</c:v>
                </c:pt>
                <c:pt idx="23">
                  <c:v>1.0992078102218528</c:v>
                </c:pt>
                <c:pt idx="24">
                  <c:v>1.1034804280190529</c:v>
                </c:pt>
                <c:pt idx="25">
                  <c:v>1.1077479594352693</c:v>
                </c:pt>
                <c:pt idx="26">
                  <c:v>1.1120104860162356</c:v>
                </c:pt>
                <c:pt idx="27">
                  <c:v>1.1162680889404064</c:v>
                </c:pt>
                <c:pt idx="28">
                  <c:v>1.1205208490607623</c:v>
                </c:pt>
                <c:pt idx="29">
                  <c:v>1.1247688469472064</c:v>
                </c:pt>
                <c:pt idx="30">
                  <c:v>1.1290121629296466</c:v>
                </c:pt>
                <c:pt idx="31">
                  <c:v>1.133250877141752</c:v>
                </c:pt>
                <c:pt idx="32">
                  <c:v>1.1374850695654841</c:v>
                </c:pt>
                <c:pt idx="33">
                  <c:v>1.1417148200764151</c:v>
                </c:pt>
                <c:pt idx="34">
                  <c:v>1.1459402084899097</c:v>
                </c:pt>
                <c:pt idx="35">
                  <c:v>1.1501613146081937</c:v>
                </c:pt>
                <c:pt idx="36">
                  <c:v>1.154378218268423</c:v>
                </c:pt>
                <c:pt idx="37">
                  <c:v>1.1585909993917445</c:v>
                </c:pt>
                <c:pt idx="38">
                  <c:v>1.1627997380334603</c:v>
                </c:pt>
                <c:pt idx="39">
                  <c:v>1.1670045144343353</c:v>
                </c:pt>
                <c:pt idx="40">
                  <c:v>1.1712054090731281</c:v>
                </c:pt>
                <c:pt idx="41">
                  <c:v>1.1754025027204051</c:v>
                </c:pt>
                <c:pt idx="42">
                  <c:v>1.17959587649373</c:v>
                </c:pt>
                <c:pt idx="43">
                  <c:v>1.1837856119142895</c:v>
                </c:pt>
                <c:pt idx="44">
                  <c:v>1.187971790965038</c:v>
                </c:pt>
                <c:pt idx="45">
                  <c:v>1.19215449615047</c:v>
                </c:pt>
                <c:pt idx="46">
                  <c:v>1.1963338105580916</c:v>
                </c:pt>
                <c:pt idx="47">
                  <c:v>1.2005098179216789</c:v>
                </c:pt>
                <c:pt idx="48">
                  <c:v>1.2046826026864579</c:v>
                </c:pt>
                <c:pt idx="49">
                  <c:v>1.2088522500762893</c:v>
                </c:pt>
                <c:pt idx="50">
                  <c:v>1.2130188461629825</c:v>
                </c:pt>
                <c:pt idx="51">
                  <c:v>1.217182477937832</c:v>
                </c:pt>
                <c:pt idx="52">
                  <c:v>1.221343233385572</c:v>
                </c:pt>
                <c:pt idx="53">
                  <c:v>1.2255012015607956</c:v>
                </c:pt>
                <c:pt idx="54">
                  <c:v>1.2296564726670625</c:v>
                </c:pt>
                <c:pt idx="55">
                  <c:v>1.2338091381388054</c:v>
                </c:pt>
                <c:pt idx="56">
                  <c:v>1.2379592907261943</c:v>
                </c:pt>
                <c:pt idx="57">
                  <c:v>1.242107024583182</c:v>
                </c:pt>
                <c:pt idx="58">
                  <c:v>1.2462524353588489</c:v>
                </c:pt>
                <c:pt idx="59">
                  <c:v>1.2503956202922966</c:v>
                </c:pt>
                <c:pt idx="60">
                  <c:v>1.2545366783112912</c:v>
                </c:pt>
                <c:pt idx="61">
                  <c:v>1.2586757101348618</c:v>
                </c:pt>
                <c:pt idx="62">
                  <c:v>1.2628128183801235</c:v>
                </c:pt>
                <c:pt idx="63">
                  <c:v>1.2669481076735805</c:v>
                </c:pt>
                <c:pt idx="64">
                  <c:v>1.271081684767166</c:v>
                </c:pt>
                <c:pt idx="65">
                  <c:v>1.2752136586593468</c:v>
                </c:pt>
                <c:pt idx="66">
                  <c:v>1.2793441407216029</c:v>
                </c:pt>
                <c:pt idx="67">
                  <c:v>1.2834732448306192</c:v>
                </c:pt>
                <c:pt idx="68">
                  <c:v>1.2876010875065846</c:v>
                </c:pt>
                <c:pt idx="69">
                  <c:v>1.2917277880579654</c:v>
                </c:pt>
                <c:pt idx="70">
                  <c:v>1.2958534687332248</c:v>
                </c:pt>
                <c:pt idx="71">
                  <c:v>1.2999782548799286</c:v>
                </c:pt>
                <c:pt idx="72">
                  <c:v>1.3041022751117388</c:v>
                </c:pt>
                <c:pt idx="73">
                  <c:v>1.3082256614838801</c:v>
                </c:pt>
                <c:pt idx="74">
                  <c:v>1.3123485496776166</c:v>
                </c:pt>
                <c:pt idx="75">
                  <c:v>1.3164710791944119</c:v>
                </c:pt>
                <c:pt idx="76">
                  <c:v>1.3205933935604801</c:v>
                </c:pt>
                <c:pt idx="77">
                  <c:v>1.3247156405424407</c:v>
                </c:pt>
                <c:pt idx="78">
                  <c:v>1.3288379723749539</c:v>
                </c:pt>
                <c:pt idx="79">
                  <c:v>1.3329605460011649</c:v>
                </c:pt>
                <c:pt idx="80">
                  <c:v>1.3370835233270275</c:v>
                </c:pt>
                <c:pt idx="81">
                  <c:v>1.3412070714904625</c:v>
                </c:pt>
                <c:pt idx="82">
                  <c:v>1.3453313631466228</c:v>
                </c:pt>
                <c:pt idx="83">
                  <c:v>1.3494565767704481</c:v>
                </c:pt>
                <c:pt idx="84">
                  <c:v>1.3535828969779824</c:v>
                </c:pt>
                <c:pt idx="85">
                  <c:v>1.3577105148679747</c:v>
                </c:pt>
                <c:pt idx="86">
                  <c:v>1.3618396283853733</c:v>
                </c:pt>
                <c:pt idx="87">
                  <c:v>1.3659704427087216</c:v>
                </c:pt>
                <c:pt idx="88">
                  <c:v>1.3701031706633617</c:v>
                </c:pt>
                <c:pt idx="89">
                  <c:v>1.3742380331628019</c:v>
                </c:pt>
                <c:pt idx="90">
                  <c:v>1.3783752596807095</c:v>
                </c:pt>
                <c:pt idx="91">
                  <c:v>1.3825150887563475</c:v>
                </c:pt>
                <c:pt idx="92">
                  <c:v>1.3866577685364865</c:v>
                </c:pt>
                <c:pt idx="93">
                  <c:v>1.3908035573572846</c:v>
                </c:pt>
                <c:pt idx="94">
                  <c:v>1.3949527243699085</c:v>
                </c:pt>
                <c:pt idx="95">
                  <c:v>1.3991055502142247</c:v>
                </c:pt>
                <c:pt idx="96">
                  <c:v>1.4032623277452734</c:v>
                </c:pt>
                <c:pt idx="97">
                  <c:v>1.4074233628179644</c:v>
                </c:pt>
                <c:pt idx="98">
                  <c:v>1.41158897513598</c:v>
                </c:pt>
                <c:pt idx="99">
                  <c:v>1.4157594991716778</c:v>
                </c:pt>
                <c:pt idx="100">
                  <c:v>1.4199352851647091</c:v>
                </c:pt>
                <c:pt idx="101">
                  <c:v>1.4241167002079844</c:v>
                </c:pt>
                <c:pt idx="102">
                  <c:v>1.4283041294308989</c:v>
                </c:pt>
                <c:pt idx="103">
                  <c:v>1.4324979772910107</c:v>
                </c:pt>
                <c:pt idx="104">
                  <c:v>1.4366986689869985</c:v>
                </c:pt>
                <c:pt idx="105">
                  <c:v>1.4409066520075446</c:v>
                </c:pt>
                <c:pt idx="106">
                  <c:v>1.4451223978330272</c:v>
                </c:pt>
                <c:pt idx="107">
                  <c:v>1.4493464038093096</c:v>
                </c:pt>
                <c:pt idx="108">
                  <c:v>1.4535791952161474</c:v>
                </c:pt>
                <c:pt idx="109">
                  <c:v>1.4578213275560674</c:v>
                </c:pt>
                <c:pt idx="110">
                  <c:v>1.4620733890939968</c:v>
                </c:pt>
                <c:pt idx="111">
                  <c:v>1.4663360036828681</c:v>
                </c:pt>
                <c:pt idx="112">
                  <c:v>1.4706098339165528</c:v>
                </c:pt>
                <c:pt idx="113">
                  <c:v>1.4748955846587462</c:v>
                </c:pt>
                <c:pt idx="114">
                  <c:v>1.479194007005306</c:v>
                </c:pt>
                <c:pt idx="115">
                  <c:v>1.4835059027482476</c:v>
                </c:pt>
                <c:pt idx="116">
                  <c:v>1.4878321294227363</c:v>
                </c:pt>
                <c:pt idx="117">
                  <c:v>1.4921736060345696</c:v>
                </c:pt>
                <c:pt idx="118">
                  <c:v>1.4965313195854666</c:v>
                </c:pt>
                <c:pt idx="119">
                  <c:v>1.5009063325383531</c:v>
                </c:pt>
                <c:pt idx="120">
                  <c:v>1.5052997913955839</c:v>
                </c:pt>
                <c:pt idx="121">
                  <c:v>1.5097129366021198</c:v>
                </c:pt>
                <c:pt idx="122">
                  <c:v>1.5141471140349412</c:v>
                </c:pt>
                <c:pt idx="123">
                  <c:v>1.5186037884029813</c:v>
                </c:pt>
                <c:pt idx="124">
                  <c:v>1.5230845589629871</c:v>
                </c:pt>
                <c:pt idx="125">
                  <c:v>1.5275911780620195</c:v>
                </c:pt>
                <c:pt idx="126">
                  <c:v>1.5321255731552805</c:v>
                </c:pt>
                <c:pt idx="127">
                  <c:v>1.5366898731305469</c:v>
                </c:pt>
                <c:pt idx="128">
                  <c:v>1.54128644001469</c:v>
                </c:pt>
                <c:pt idx="129">
                  <c:v>1.545917907468076</c:v>
                </c:pt>
                <c:pt idx="130">
                  <c:v>1.5505872279251893</c:v>
                </c:pt>
                <c:pt idx="131">
                  <c:v>1.5552977308679445</c:v>
                </c:pt>
                <c:pt idx="132">
                  <c:v>1.5600531956033794</c:v>
                </c:pt>
                <c:pt idx="133">
                  <c:v>1.5648579431849183</c:v>
                </c:pt>
                <c:pt idx="134">
                  <c:v>1.5697169539640918</c:v>
                </c:pt>
                <c:pt idx="135">
                  <c:v>1.5746360200067189</c:v>
                </c:pt>
                <c:pt idx="136">
                  <c:v>1.5796219457823408</c:v>
                </c:pt>
                <c:pt idx="137">
                  <c:v>1.5846828170379108</c:v>
                </c:pt>
                <c:pt idx="138">
                  <c:v>1.5898283681782956</c:v>
                </c:pt>
                <c:pt idx="139">
                  <c:v>1.595070495679884</c:v>
                </c:pt>
                <c:pt idx="140">
                  <c:v>1.6004239945354957</c:v>
                </c:pt>
                <c:pt idx="141">
                  <c:v>1.605907647374393</c:v>
                </c:pt>
                <c:pt idx="142">
                  <c:v>1.611545894680219</c:v>
                </c:pt>
                <c:pt idx="143">
                  <c:v>1.6173715110634725</c:v>
                </c:pt>
                <c:pt idx="144">
                  <c:v>1.6234301325014291</c:v>
                </c:pt>
                <c:pt idx="145">
                  <c:v>1.6297884603721666</c:v>
                </c:pt>
                <c:pt idx="146">
                  <c:v>1.6365505380110905</c:v>
                </c:pt>
                <c:pt idx="147">
                  <c:v>1.6438943589045163</c:v>
                </c:pt>
                <c:pt idx="148">
                  <c:v>1.6521712238741983</c:v>
                </c:pt>
                <c:pt idx="149">
                  <c:v>1.6622788867183871</c:v>
                </c:pt>
                <c:pt idx="150">
                  <c:v>1.6789542324713218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4-C79D-4B9D-9E96-AF39BCA45E13}"/>
            </c:ext>
          </c:extLst>
        </c:ser>
        <c:ser>
          <c:idx val="30"/>
          <c:order val="8"/>
          <c:marker>
            <c:symbol val="none"/>
          </c:marker>
          <c:xVal>
            <c:numRef>
              <c:f>BASIC!$AC$3:$AC$230</c:f>
              <c:numCache>
                <c:formatCode>General</c:formatCode>
                <c:ptCount val="228"/>
                <c:pt idx="0">
                  <c:v>0.99935803970376491</c:v>
                </c:pt>
                <c:pt idx="1">
                  <c:v>1.003634309600933</c:v>
                </c:pt>
                <c:pt idx="2">
                  <c:v>1.0079024566796952</c:v>
                </c:pt>
                <c:pt idx="3">
                  <c:v>1.012162531181805</c:v>
                </c:pt>
                <c:pt idx="4">
                  <c:v>1.0164145831123341</c:v>
                </c:pt>
                <c:pt idx="5">
                  <c:v>1.0206586622503102</c:v>
                </c:pt>
                <c:pt idx="6">
                  <c:v>1.0248948181594164</c:v>
                </c:pt>
                <c:pt idx="7">
                  <c:v>1.0291231001987537</c:v>
                </c:pt>
                <c:pt idx="8">
                  <c:v>1.0333435575336629</c:v>
                </c:pt>
                <c:pt idx="9">
                  <c:v>1.0375562391465998</c:v>
                </c:pt>
                <c:pt idx="10">
                  <c:v>1.0417611938480669</c:v>
                </c:pt>
                <c:pt idx="11">
                  <c:v>1.0459584702875893</c:v>
                </c:pt>
                <c:pt idx="12">
                  <c:v>1.0501481169647493</c:v>
                </c:pt>
                <c:pt idx="13">
                  <c:v>1.0543301822402567</c:v>
                </c:pt>
                <c:pt idx="14">
                  <c:v>1.0585047143470869</c:v>
                </c:pt>
                <c:pt idx="15">
                  <c:v>1.0626717614016541</c:v>
                </c:pt>
                <c:pt idx="16">
                  <c:v>1.0668313714150417</c:v>
                </c:pt>
                <c:pt idx="17">
                  <c:v>1.0709835923042763</c:v>
                </c:pt>
                <c:pt idx="18">
                  <c:v>1.0751284719036769</c:v>
                </c:pt>
                <c:pt idx="19">
                  <c:v>1.0792660579762345</c:v>
                </c:pt>
                <c:pt idx="20">
                  <c:v>1.0833963982250718</c:v>
                </c:pt>
                <c:pt idx="21">
                  <c:v>1.0875195403049669</c:v>
                </c:pt>
                <c:pt idx="22">
                  <c:v>1.091635531833925</c:v>
                </c:pt>
                <c:pt idx="23">
                  <c:v>1.0957444204048543</c:v>
                </c:pt>
                <c:pt idx="24">
                  <c:v>1.0998462535972939</c:v>
                </c:pt>
                <c:pt idx="25">
                  <c:v>1.103941078989245</c:v>
                </c:pt>
                <c:pt idx="26">
                  <c:v>1.1080289441690816</c:v>
                </c:pt>
                <c:pt idx="27">
                  <c:v>1.1121098967475684</c:v>
                </c:pt>
                <c:pt idx="28">
                  <c:v>1.1161839843699781</c:v>
                </c:pt>
                <c:pt idx="29">
                  <c:v>1.1202512547283197</c:v>
                </c:pt>
                <c:pt idx="30">
                  <c:v>1.1243117555737123</c:v>
                </c:pt>
                <c:pt idx="31">
                  <c:v>1.1283655347288497</c:v>
                </c:pt>
                <c:pt idx="32">
                  <c:v>1.1324126401006489</c:v>
                </c:pt>
                <c:pt idx="33">
                  <c:v>1.1364531196930312</c:v>
                </c:pt>
                <c:pt idx="34">
                  <c:v>1.1404870216198562</c:v>
                </c:pt>
                <c:pt idx="35">
                  <c:v>1.14451439411806</c:v>
                </c:pt>
                <c:pt idx="36">
                  <c:v>1.1485352855609503</c:v>
                </c:pt>
                <c:pt idx="37">
                  <c:v>1.1525497444717301</c:v>
                </c:pt>
                <c:pt idx="38">
                  <c:v>1.1565578195372082</c:v>
                </c:pt>
                <c:pt idx="39">
                  <c:v>1.1605595596217664</c:v>
                </c:pt>
                <c:pt idx="40">
                  <c:v>1.1645550137815506</c:v>
                </c:pt>
                <c:pt idx="41">
                  <c:v>1.1685442312789298</c:v>
                </c:pt>
                <c:pt idx="42">
                  <c:v>1.1725272615972393</c:v>
                </c:pt>
                <c:pt idx="43">
                  <c:v>1.1765041544558079</c:v>
                </c:pt>
                <c:pt idx="44">
                  <c:v>1.1804749598253088</c:v>
                </c:pt>
                <c:pt idx="45">
                  <c:v>1.184439727943438</c:v>
                </c:pt>
                <c:pt idx="46">
                  <c:v>1.1883985093309544</c:v>
                </c:pt>
                <c:pt idx="47">
                  <c:v>1.1923513548080913</c:v>
                </c:pt>
                <c:pt idx="48">
                  <c:v>1.1962983155113749</c:v>
                </c:pt>
                <c:pt idx="49">
                  <c:v>1.2002394429108567</c:v>
                </c:pt>
                <c:pt idx="50">
                  <c:v>1.2041747888278056</c:v>
                </c:pt>
                <c:pt idx="51">
                  <c:v>1.2081044054528813</c:v>
                </c:pt>
                <c:pt idx="52">
                  <c:v>1.2120283453647906</c:v>
                </c:pt>
                <c:pt idx="53">
                  <c:v>1.2159466615495076</c:v>
                </c:pt>
                <c:pt idx="54">
                  <c:v>1.2198594074200462</c:v>
                </c:pt>
                <c:pt idx="55">
                  <c:v>1.223766636836829</c:v>
                </c:pt>
                <c:pt idx="56">
                  <c:v>1.2276684041287045</c:v>
                </c:pt>
                <c:pt idx="57">
                  <c:v>1.2315647641146279</c:v>
                </c:pt>
                <c:pt idx="58">
                  <c:v>1.2354557721260584</c:v>
                </c:pt>
                <c:pt idx="59">
                  <c:v>1.2393414840301045</c:v>
                </c:pt>
                <c:pt idx="60">
                  <c:v>1.2432219562534781</c:v>
                </c:pt>
                <c:pt idx="61">
                  <c:v>1.2470972458072753</c:v>
                </c:pt>
                <c:pt idx="62">
                  <c:v>1.250967410312676</c:v>
                </c:pt>
                <c:pt idx="63">
                  <c:v>1.2548325080275606</c:v>
                </c:pt>
                <c:pt idx="64">
                  <c:v>1.2586925978741412</c:v>
                </c:pt>
                <c:pt idx="65">
                  <c:v>1.2625477394676612</c:v>
                </c:pt>
                <c:pt idx="66">
                  <c:v>1.2663979931461946</c:v>
                </c:pt>
                <c:pt idx="67">
                  <c:v>1.2702434200016584</c:v>
                </c:pt>
                <c:pt idx="68">
                  <c:v>1.2740840819120558</c:v>
                </c:pt>
                <c:pt idx="69">
                  <c:v>1.2779200415750789</c:v>
                </c:pt>
                <c:pt idx="70">
                  <c:v>1.2817513625430992</c:v>
                </c:pt>
                <c:pt idx="71">
                  <c:v>1.285578109259677</c:v>
                </c:pt>
                <c:pt idx="72">
                  <c:v>1.2894003470976378</c:v>
                </c:pt>
                <c:pt idx="73">
                  <c:v>1.2932181423988507</c:v>
                </c:pt>
                <c:pt idx="74">
                  <c:v>1.2970315625157733</c:v>
                </c:pt>
                <c:pt idx="75">
                  <c:v>1.300840675854914</c:v>
                </c:pt>
                <c:pt idx="76">
                  <c:v>1.304645551922283</c:v>
                </c:pt>
                <c:pt idx="77">
                  <c:v>1.308446261370998</c:v>
                </c:pt>
                <c:pt idx="78">
                  <c:v>1.3122428760511569</c:v>
                </c:pt>
                <c:pt idx="79">
                  <c:v>1.3160354690621254</c:v>
                </c:pt>
                <c:pt idx="80">
                  <c:v>1.3198241148073862</c:v>
                </c:pt>
                <c:pt idx="81">
                  <c:v>1.323608889052136</c:v>
                </c:pt>
                <c:pt idx="82">
                  <c:v>1.3273898689837746</c:v>
                </c:pt>
                <c:pt idx="83">
                  <c:v>1.3311671332755115</c:v>
                </c:pt>
                <c:pt idx="84">
                  <c:v>1.3349407621532627</c:v>
                </c:pt>
                <c:pt idx="85">
                  <c:v>1.3387108374660814</c:v>
                </c:pt>
                <c:pt idx="86">
                  <c:v>1.3424774427603379</c:v>
                </c:pt>
                <c:pt idx="87">
                  <c:v>1.3462406633579247</c:v>
                </c:pt>
                <c:pt idx="88">
                  <c:v>1.3500005864387461</c:v>
                </c:pt>
                <c:pt idx="89">
                  <c:v>1.3537573011277915</c:v>
                </c:pt>
                <c:pt idx="90">
                  <c:v>1.357510898587114</c:v>
                </c:pt>
                <c:pt idx="91">
                  <c:v>1.3612614721130731</c:v>
                </c:pt>
                <c:pt idx="92">
                  <c:v>1.3650091172391834</c:v>
                </c:pt>
                <c:pt idx="93">
                  <c:v>1.3687539318450195</c:v>
                </c:pt>
                <c:pt idx="94">
                  <c:v>1.3724960162715747</c:v>
                </c:pt>
                <c:pt idx="95">
                  <c:v>1.3762354734435911</c:v>
                </c:pt>
                <c:pt idx="96">
                  <c:v>1.3799724089993353</c:v>
                </c:pt>
                <c:pt idx="97">
                  <c:v>1.383706931428442</c:v>
                </c:pt>
                <c:pt idx="98">
                  <c:v>1.3874391522183847</c:v>
                </c:pt>
                <c:pt idx="99">
                  <c:v>1.3911691860102773</c:v>
                </c:pt>
                <c:pt idx="100">
                  <c:v>1.3948971507647372</c:v>
                </c:pt>
                <c:pt idx="101">
                  <c:v>1.3986231679385943</c:v>
                </c:pt>
                <c:pt idx="102">
                  <c:v>1.4023473626733418</c:v>
                </c:pt>
                <c:pt idx="103">
                  <c:v>1.4060698639962688</c:v>
                </c:pt>
                <c:pt idx="104">
                  <c:v>1.4097908050353423</c:v>
                </c:pt>
                <c:pt idx="105">
                  <c:v>1.4135103232489861</c:v>
                </c:pt>
                <c:pt idx="106">
                  <c:v>1.4172285606720205</c:v>
                </c:pt>
                <c:pt idx="107">
                  <c:v>1.4209456641791949</c:v>
                </c:pt>
                <c:pt idx="108">
                  <c:v>1.4246617857678057</c:v>
                </c:pt>
                <c:pt idx="109">
                  <c:v>1.4283770828611528</c:v>
                </c:pt>
                <c:pt idx="110">
                  <c:v>1.4320917186346871</c:v>
                </c:pt>
                <c:pt idx="111">
                  <c:v>1.4358058623669638</c:v>
                </c:pt>
                <c:pt idx="112">
                  <c:v>1.4395196898177047</c:v>
                </c:pt>
                <c:pt idx="113">
                  <c:v>1.4432333836355549</c:v>
                </c:pt>
                <c:pt idx="114">
                  <c:v>1.4469471337983972</c:v>
                </c:pt>
                <c:pt idx="115">
                  <c:v>1.4506611380894474</c:v>
                </c:pt>
                <c:pt idx="116">
                  <c:v>1.4543756026126813</c:v>
                </c:pt>
                <c:pt idx="117">
                  <c:v>1.4580907423516329</c:v>
                </c:pt>
                <c:pt idx="118">
                  <c:v>1.4618067817760394</c:v>
                </c:pt>
                <c:pt idx="119">
                  <c:v>1.4655239555013913</c:v>
                </c:pt>
                <c:pt idx="120">
                  <c:v>1.4692425090071144</c:v>
                </c:pt>
                <c:pt idx="121">
                  <c:v>1.4729626994197738</c:v>
                </c:pt>
                <c:pt idx="122">
                  <c:v>1.4766847963686194</c:v>
                </c:pt>
                <c:pt idx="123">
                  <c:v>1.4804090829217174</c:v>
                </c:pt>
                <c:pt idx="124">
                  <c:v>1.4841358566120648</c:v>
                </c:pt>
                <c:pt idx="125">
                  <c:v>1.4878654305644126</c:v>
                </c:pt>
                <c:pt idx="126">
                  <c:v>1.4915981347350176</c:v>
                </c:pt>
                <c:pt idx="127">
                  <c:v>1.4953343172783948</c:v>
                </c:pt>
                <c:pt idx="128">
                  <c:v>1.4990743460571705</c:v>
                </c:pt>
                <c:pt idx="129">
                  <c:v>1.5028186103136842</c:v>
                </c:pt>
                <c:pt idx="130">
                  <c:v>1.5065675225248136</c:v>
                </c:pt>
                <c:pt idx="131">
                  <c:v>1.5103215204650124</c:v>
                </c:pt>
                <c:pt idx="132">
                  <c:v>1.5140810695066438</c:v>
                </c:pt>
                <c:pt idx="133">
                  <c:v>1.5178466651915743</c:v>
                </c:pt>
                <c:pt idx="134">
                  <c:v>1.5216188361139122</c:v>
                </c:pt>
                <c:pt idx="135">
                  <c:v>1.525398147160913</c:v>
                </c:pt>
                <c:pt idx="136">
                  <c:v>1.5291852031677151</c:v>
                </c:pt>
                <c:pt idx="137">
                  <c:v>1.5329806530521792</c:v>
                </c:pt>
                <c:pt idx="138">
                  <c:v>1.5367851945091275</c:v>
                </c:pt>
                <c:pt idx="139">
                  <c:v>1.5405995793593323</c:v>
                </c:pt>
                <c:pt idx="140">
                  <c:v>1.5444246196686093</c:v>
                </c:pt>
                <c:pt idx="141">
                  <c:v>1.5482611947772817</c:v>
                </c:pt>
                <c:pt idx="142">
                  <c:v>1.5521102594114455</c:v>
                </c:pt>
                <c:pt idx="143">
                  <c:v>1.555972853086858</c:v>
                </c:pt>
                <c:pt idx="144">
                  <c:v>1.5598501110660001</c:v>
                </c:pt>
                <c:pt idx="145">
                  <c:v>1.5637432771924593</c:v>
                </c:pt>
                <c:pt idx="146">
                  <c:v>1.5676537190084114</c:v>
                </c:pt>
                <c:pt idx="147">
                  <c:v>1.5715829456671957</c:v>
                </c:pt>
                <c:pt idx="148">
                  <c:v>1.575532629292135</c:v>
                </c:pt>
                <c:pt idx="149">
                  <c:v>1.579504630617945</c:v>
                </c:pt>
                <c:pt idx="150">
                  <c:v>1.5835010299999832</c:v>
                </c:pt>
                <c:pt idx="151">
                  <c:v>1.5875241652160323</c:v>
                </c:pt>
                <c:pt idx="152">
                  <c:v>1.5915766779545315</c:v>
                </c:pt>
                <c:pt idx="153">
                  <c:v>1.5956615715409623</c:v>
                </c:pt>
                <c:pt idx="154">
                  <c:v>1.5997822833910109</c:v>
                </c:pt>
                <c:pt idx="155">
                  <c:v>1.6039427770355046</c:v>
                </c:pt>
                <c:pt idx="156">
                  <c:v>1.6081476605630849</c:v>
                </c:pt>
                <c:pt idx="157">
                  <c:v>1.6124023413396698</c:v>
                </c:pt>
                <c:pt idx="158">
                  <c:v>1.6167132315086081</c:v>
                </c:pt>
                <c:pt idx="159">
                  <c:v>1.6210880261277258</c:v>
                </c:pt>
                <c:pt idx="160">
                  <c:v>1.6255360877937426</c:v>
                </c:pt>
                <c:pt idx="161">
                  <c:v>1.6300689918605507</c:v>
                </c:pt>
                <c:pt idx="162">
                  <c:v>1.6347013219625997</c:v>
                </c:pt>
                <c:pt idx="163">
                  <c:v>1.6394518711417101</c:v>
                </c:pt>
                <c:pt idx="164">
                  <c:v>1.6443455316109243</c:v>
                </c:pt>
                <c:pt idx="165">
                  <c:v>1.6494164223248018</c:v>
                </c:pt>
                <c:pt idx="166">
                  <c:v>1.6547134063990732</c:v>
                </c:pt>
                <c:pt idx="167">
                  <c:v>1.6603106703928903</c:v>
                </c:pt>
                <c:pt idx="168">
                  <c:v>1.6663304587244183</c:v>
                </c:pt>
                <c:pt idx="169">
                  <c:v>1.6730008270467296</c:v>
                </c:pt>
                <c:pt idx="170">
                  <c:v>1.6808492619592188</c:v>
                </c:pt>
                <c:pt idx="171">
                  <c:v>1.6919079364094032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BASIC!$AE$3:$AE$230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C79D-4B9D-9E96-AF39BCA45E13}"/>
            </c:ext>
          </c:extLst>
        </c:ser>
        <c:ser>
          <c:idx val="31"/>
          <c:order val="9"/>
          <c:marker>
            <c:symbol val="none"/>
          </c:marker>
          <c:xVal>
            <c:numRef>
              <c:f>BASIC!$AD$3:$AD$230</c:f>
              <c:numCache>
                <c:formatCode>General</c:formatCode>
                <c:ptCount val="228"/>
                <c:pt idx="0">
                  <c:v>1.6569548414411133</c:v>
                </c:pt>
                <c:pt idx="1">
                  <c:v>1.6572754728492241</c:v>
                </c:pt>
                <c:pt idx="2">
                  <c:v>1.6576136299959181</c:v>
                </c:pt>
                <c:pt idx="3">
                  <c:v>1.657968981552056</c:v>
                </c:pt>
                <c:pt idx="4">
                  <c:v>1.6583412015335905</c:v>
                </c:pt>
                <c:pt idx="5">
                  <c:v>1.6587299691895312</c:v>
                </c:pt>
                <c:pt idx="6">
                  <c:v>1.6591349688905288</c:v>
                </c:pt>
                <c:pt idx="7">
                  <c:v>1.6595558900180876</c:v>
                </c:pt>
                <c:pt idx="8">
                  <c:v>1.659992426854483</c:v>
                </c:pt>
                <c:pt idx="9">
                  <c:v>1.660444278473433</c:v>
                </c:pt>
                <c:pt idx="10">
                  <c:v>1.660911148631544</c:v>
                </c:pt>
                <c:pt idx="11">
                  <c:v>1.6613927456606186</c:v>
                </c:pt>
                <c:pt idx="12">
                  <c:v>1.6618887823608366</c:v>
                </c:pt>
                <c:pt idx="13">
                  <c:v>1.6623989758948858</c:v>
                </c:pt>
                <c:pt idx="14">
                  <c:v>1.6629230476830588</c:v>
                </c:pt>
                <c:pt idx="15">
                  <c:v>1.663460723299375</c:v>
                </c:pt>
                <c:pt idx="16">
                  <c:v>1.6640117323687842</c:v>
                </c:pt>
                <c:pt idx="17">
                  <c:v>1.6645758084654205</c:v>
                </c:pt>
                <c:pt idx="18">
                  <c:v>1.6651526890120658</c:v>
                </c:pt>
                <c:pt idx="19">
                  <c:v>1.6657421151807021</c:v>
                </c:pt>
                <c:pt idx="20">
                  <c:v>1.6663438317943045</c:v>
                </c:pt>
                <c:pt idx="21">
                  <c:v>1.6669575872298739</c:v>
                </c:pt>
                <c:pt idx="22">
                  <c:v>1.6675831333226629</c:v>
                </c:pt>
                <c:pt idx="23">
                  <c:v>1.6682202252717231</c:v>
                </c:pt>
                <c:pt idx="24">
                  <c:v>1.6688686215466904</c:v>
                </c:pt>
                <c:pt idx="25">
                  <c:v>1.6695280837959077</c:v>
                </c:pt>
                <c:pt idx="26">
                  <c:v>1.6701983767558222</c:v>
                </c:pt>
                <c:pt idx="27">
                  <c:v>1.6708792681617137</c:v>
                </c:pt>
                <c:pt idx="28">
                  <c:v>1.6715705286597313</c:v>
                </c:pt>
                <c:pt idx="29">
                  <c:v>1.6722719317202344</c:v>
                </c:pt>
                <c:pt idx="30">
                  <c:v>1.6729832535524674</c:v>
                </c:pt>
                <c:pt idx="31">
                  <c:v>1.6737042730205081</c:v>
                </c:pt>
                <c:pt idx="32">
                  <c:v>1.6744347715605228</c:v>
                </c:pt>
                <c:pt idx="33">
                  <c:v>1.6751745330992798</c:v>
                </c:pt>
                <c:pt idx="34">
                  <c:v>1.6759233439739409</c:v>
                </c:pt>
                <c:pt idx="35">
                  <c:v>1.6766809928530495</c:v>
                </c:pt>
                <c:pt idx="36">
                  <c:v>1.6774472706587646</c:v>
                </c:pt>
                <c:pt idx="37">
                  <c:v>1.6782219704902421</c:v>
                </c:pt>
                <c:pt idx="38">
                  <c:v>1.6790048875481611</c:v>
                </c:pt>
                <c:pt idx="39">
                  <c:v>1.679795819060397</c:v>
                </c:pt>
                <c:pt idx="40">
                  <c:v>1.6805945642087081</c:v>
                </c:pt>
                <c:pt idx="41">
                  <c:v>1.6814009240564833</c:v>
                </c:pt>
                <c:pt idx="42">
                  <c:v>1.6822147014774795</c:v>
                </c:pt>
                <c:pt idx="43">
                  <c:v>1.6830357010854711</c:v>
                </c:pt>
                <c:pt idx="44">
                  <c:v>1.6838637291647942</c:v>
                </c:pt>
                <c:pt idx="45">
                  <c:v>1.6846985936017107</c:v>
                </c:pt>
                <c:pt idx="46">
                  <c:v>1.685540103816566</c:v>
                </c:pt>
                <c:pt idx="47">
                  <c:v>1.6863880706966341</c:v>
                </c:pt>
                <c:pt idx="48">
                  <c:v>1.6872423065296249</c:v>
                </c:pt>
                <c:pt idx="49">
                  <c:v>1.6881026249377775</c:v>
                </c:pt>
                <c:pt idx="50">
                  <c:v>1.6889688408124552</c:v>
                </c:pt>
                <c:pt idx="51">
                  <c:v>1.6898407702492029</c:v>
                </c:pt>
                <c:pt idx="52">
                  <c:v>1.6907182304831649</c:v>
                </c:pt>
                <c:pt idx="53">
                  <c:v>1.6916010398247905</c:v>
                </c:pt>
                <c:pt idx="54">
                  <c:v>1.6924890175957668</c:v>
                </c:pt>
                <c:pt idx="55">
                  <c:v>1.6933819840650708</c:v>
                </c:pt>
                <c:pt idx="56">
                  <c:v>1.6942797603850659</c:v>
                </c:pt>
                <c:pt idx="57">
                  <c:v>1.695182168527577</c:v>
                </c:pt>
                <c:pt idx="58">
                  <c:v>1.6960890312197898</c:v>
                </c:pt>
                <c:pt idx="59">
                  <c:v>1.6970001718799472</c:v>
                </c:pt>
                <c:pt idx="60">
                  <c:v>1.6979154145527078</c:v>
                </c:pt>
                <c:pt idx="61">
                  <c:v>1.6988345838440688</c:v>
                </c:pt>
                <c:pt idx="62">
                  <c:v>1.6997575048557574</c:v>
                </c:pt>
                <c:pt idx="63">
                  <c:v>1.7006840031189545</c:v>
                </c:pt>
                <c:pt idx="64">
                  <c:v>1.7016139045272534</c:v>
                </c:pt>
                <c:pt idx="65">
                  <c:v>1.7025470352687682</c:v>
                </c:pt>
                <c:pt idx="66">
                  <c:v>1.7034832217571811</c:v>
                </c:pt>
                <c:pt idx="67">
                  <c:v>1.704422290561689</c:v>
                </c:pt>
                <c:pt idx="68">
                  <c:v>1.705364068335655</c:v>
                </c:pt>
                <c:pt idx="69">
                  <c:v>1.7063083817438551</c:v>
                </c:pt>
                <c:pt idx="70">
                  <c:v>1.7072550573881493</c:v>
                </c:pt>
                <c:pt idx="71">
                  <c:v>1.7082039217314593</c:v>
                </c:pt>
                <c:pt idx="72">
                  <c:v>1.7091548010198139</c:v>
                </c:pt>
                <c:pt idx="73">
                  <c:v>1.7101075212024159</c:v>
                </c:pt>
                <c:pt idx="74">
                  <c:v>1.7110619078494105</c:v>
                </c:pt>
                <c:pt idx="75">
                  <c:v>1.7120177860672829</c:v>
                </c:pt>
                <c:pt idx="76">
                  <c:v>1.7129749804115992</c:v>
                </c:pt>
                <c:pt idx="77">
                  <c:v>1.7139333147969542</c:v>
                </c:pt>
                <c:pt idx="78">
                  <c:v>1.7148926124038433</c:v>
                </c:pt>
                <c:pt idx="79">
                  <c:v>1.7158526955822551</c:v>
                </c:pt>
                <c:pt idx="80">
                  <c:v>1.7168133857517289</c:v>
                </c:pt>
                <c:pt idx="81">
                  <c:v>1.7177745032976084</c:v>
                </c:pt>
                <c:pt idx="82">
                  <c:v>1.7187358674632081</c:v>
                </c:pt>
                <c:pt idx="83">
                  <c:v>1.7196972962375918</c:v>
                </c:pt>
                <c:pt idx="84">
                  <c:v>1.7206586062386469</c:v>
                </c:pt>
                <c:pt idx="85">
                  <c:v>1.7216196125911021</c:v>
                </c:pt>
                <c:pt idx="86">
                  <c:v>1.722580128799128</c:v>
                </c:pt>
                <c:pt idx="87">
                  <c:v>1.7235399666131064</c:v>
                </c:pt>
                <c:pt idx="88">
                  <c:v>1.724498935890193</c:v>
                </c:pt>
                <c:pt idx="89">
                  <c:v>1.7254568444481568</c:v>
                </c:pt>
                <c:pt idx="90">
                  <c:v>1.7264134979120469</c:v>
                </c:pt>
                <c:pt idx="91">
                  <c:v>1.7273686995531607</c:v>
                </c:pt>
                <c:pt idx="92">
                  <c:v>1.728322250119714</c:v>
                </c:pt>
                <c:pt idx="93">
                  <c:v>1.7292739476586212</c:v>
                </c:pt>
                <c:pt idx="94">
                  <c:v>1.730223587327725</c:v>
                </c:pt>
                <c:pt idx="95">
                  <c:v>1.731170961197753</c:v>
                </c:pt>
                <c:pt idx="96">
                  <c:v>1.7321158580431726</c:v>
                </c:pt>
                <c:pt idx="97">
                  <c:v>1.7330580631211836</c:v>
                </c:pt>
                <c:pt idx="98">
                  <c:v>1.7339973579378622</c:v>
                </c:pt>
                <c:pt idx="99">
                  <c:v>1.7349335200004468</c:v>
                </c:pt>
                <c:pt idx="100">
                  <c:v>1.7358663225547182</c:v>
                </c:pt>
                <c:pt idx="101">
                  <c:v>1.7367955343062329</c:v>
                </c:pt>
                <c:pt idx="102">
                  <c:v>1.7377209191241314</c:v>
                </c:pt>
                <c:pt idx="103">
                  <c:v>1.7386422357260671</c:v>
                </c:pt>
                <c:pt idx="104">
                  <c:v>1.7395592373426985</c:v>
                </c:pt>
                <c:pt idx="105">
                  <c:v>1.7404716713600368</c:v>
                </c:pt>
                <c:pt idx="106">
                  <c:v>1.7413792789377101</c:v>
                </c:pt>
                <c:pt idx="107">
                  <c:v>1.7422817946011251</c:v>
                </c:pt>
                <c:pt idx="108">
                  <c:v>1.7431789458051548</c:v>
                </c:pt>
                <c:pt idx="109">
                  <c:v>1.7440704524668853</c:v>
                </c:pt>
                <c:pt idx="110">
                  <c:v>1.7449560264645556</c:v>
                </c:pt>
                <c:pt idx="111">
                  <c:v>1.7458353710996113</c:v>
                </c:pt>
                <c:pt idx="112">
                  <c:v>1.7467081805184232</c:v>
                </c:pt>
                <c:pt idx="113">
                  <c:v>1.7475741390898309</c:v>
                </c:pt>
                <c:pt idx="114">
                  <c:v>1.7484329207342262</c:v>
                </c:pt>
                <c:pt idx="115">
                  <c:v>1.7492841881994499</c:v>
                </c:pt>
                <c:pt idx="116">
                  <c:v>1.7501275922781536</c:v>
                </c:pt>
                <c:pt idx="117">
                  <c:v>1.7509627709606992</c:v>
                </c:pt>
                <c:pt idx="118">
                  <c:v>1.7517893485169154</c:v>
                </c:pt>
                <c:pt idx="119">
                  <c:v>1.7526069344992359</c:v>
                </c:pt>
                <c:pt idx="120">
                  <c:v>1.7534151226588177</c:v>
                </c:pt>
                <c:pt idx="121">
                  <c:v>1.7542134897652399</c:v>
                </c:pt>
                <c:pt idx="122">
                  <c:v>1.7550015943191661</c:v>
                </c:pt>
                <c:pt idx="123">
                  <c:v>1.7557789751461383</c:v>
                </c:pt>
                <c:pt idx="124">
                  <c:v>1.7565451498582385</c:v>
                </c:pt>
                <c:pt idx="125">
                  <c:v>1.7572996131687051</c:v>
                </c:pt>
                <c:pt idx="126">
                  <c:v>1.7580418350428564</c:v>
                </c:pt>
                <c:pt idx="127">
                  <c:v>1.7587712586662669</c:v>
                </c:pt>
                <c:pt idx="128">
                  <c:v>1.7594872982082534</c:v>
                </c:pt>
                <c:pt idx="129">
                  <c:v>1.7601893363544556</c:v>
                </c:pt>
                <c:pt idx="130">
                  <c:v>1.7608767215760766</c:v>
                </c:pt>
                <c:pt idx="131">
                  <c:v>1.7615487650941888</c:v>
                </c:pt>
                <c:pt idx="132">
                  <c:v>1.7622047374845244</c:v>
                </c:pt>
                <c:pt idx="133">
                  <c:v>1.7628438648499487</c:v>
                </c:pt>
                <c:pt idx="134">
                  <c:v>1.7634653244648049</c:v>
                </c:pt>
                <c:pt idx="135">
                  <c:v>1.7640682397675505</c:v>
                </c:pt>
                <c:pt idx="136">
                  <c:v>1.7646516745479568</c:v>
                </c:pt>
                <c:pt idx="137">
                  <c:v>1.7652146261469577</c:v>
                </c:pt>
                <c:pt idx="138">
                  <c:v>1.7657560174656679</c:v>
                </c:pt>
                <c:pt idx="139">
                  <c:v>1.7662746875714537</c:v>
                </c:pt>
                <c:pt idx="140">
                  <c:v>1.7667693806980937</c:v>
                </c:pt>
                <c:pt idx="141">
                  <c:v>1.7672387334647712</c:v>
                </c:pt>
                <c:pt idx="142">
                  <c:v>1.7676812601809901</c:v>
                </c:pt>
                <c:pt idx="143">
                  <c:v>1.7680953361498066</c:v>
                </c:pt>
                <c:pt idx="144">
                  <c:v>1.7684791789098238</c:v>
                </c:pt>
                <c:pt idx="145">
                  <c:v>1.7688308273418327</c:v>
                </c:pt>
                <c:pt idx="146">
                  <c:v>1.7691481184787161</c:v>
                </c:pt>
                <c:pt idx="147">
                  <c:v>1.7694286616694892</c:v>
                </c:pt>
                <c:pt idx="148">
                  <c:v>1.7696698094366874</c:v>
                </c:pt>
                <c:pt idx="149">
                  <c:v>1.7698686239170633</c:v>
                </c:pt>
                <c:pt idx="150">
                  <c:v>1.7700218371805971</c:v>
                </c:pt>
                <c:pt idx="151">
                  <c:v>1.7701258029780507</c:v>
                </c:pt>
                <c:pt idx="152">
                  <c:v>1.7701764365576933</c:v>
                </c:pt>
                <c:pt idx="153">
                  <c:v>1.7701691380767315</c:v>
                </c:pt>
                <c:pt idx="154">
                  <c:v>1.7700986937197374</c:v>
                </c:pt>
                <c:pt idx="155">
                  <c:v>1.7699591467473268</c:v>
                </c:pt>
                <c:pt idx="156">
                  <c:v>1.7697436280201586</c:v>
                </c:pt>
                <c:pt idx="157">
                  <c:v>1.7694441315437464</c:v>
                </c:pt>
                <c:pt idx="158">
                  <c:v>1.7690512143653641</c:v>
                </c:pt>
                <c:pt idx="159">
                  <c:v>1.7685535901943696</c:v>
                </c:pt>
                <c:pt idx="160">
                  <c:v>1.7679375697049828</c:v>
                </c:pt>
                <c:pt idx="161">
                  <c:v>1.7671862726203471</c:v>
                </c:pt>
                <c:pt idx="162">
                  <c:v>1.7662784876769206</c:v>
                </c:pt>
                <c:pt idx="163">
                  <c:v>1.765186966559668</c:v>
                </c:pt>
                <c:pt idx="164">
                  <c:v>1.7638757634391622</c:v>
                </c:pt>
                <c:pt idx="165">
                  <c:v>1.76229587040867</c:v>
                </c:pt>
                <c:pt idx="166">
                  <c:v>1.7603775860053774</c:v>
                </c:pt>
                <c:pt idx="167">
                  <c:v>1.7580160188849403</c:v>
                </c:pt>
                <c:pt idx="168">
                  <c:v>1.7550402575425406</c:v>
                </c:pt>
                <c:pt idx="169">
                  <c:v>1.7511359975266469</c:v>
                </c:pt>
                <c:pt idx="170">
                  <c:v>1.745590146299286</c:v>
                </c:pt>
                <c:pt idx="171">
                  <c:v>1.7357403613306401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BASIC!$AE$3:$AE$230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6-C79D-4B9D-9E96-AF39BCA45E13}"/>
            </c:ext>
          </c:extLst>
        </c:ser>
        <c:ser>
          <c:idx val="32"/>
          <c:order val="10"/>
          <c:marker>
            <c:symbol val="none"/>
          </c:marker>
          <c:xVal>
            <c:numRef>
              <c:f>BASIC!$U$26:$U$27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xVal>
          <c:yVal>
            <c:numRef>
              <c:f>BASIC!$V$26:$V$27</c:f>
              <c:numCache>
                <c:formatCode>General</c:formatCode>
                <c:ptCount val="2"/>
                <c:pt idx="0">
                  <c:v>403.15</c:v>
                </c:pt>
                <c:pt idx="1">
                  <c:v>403.15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C79D-4B9D-9E96-AF39BCA45E13}"/>
            </c:ext>
          </c:extLst>
        </c:ser>
        <c:ser>
          <c:idx val="33"/>
          <c:order val="11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BASIC!$X$3:$X$230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8-C79D-4B9D-9E96-AF39BCA45E13}"/>
            </c:ext>
          </c:extLst>
        </c:ser>
        <c:ser>
          <c:idx val="34"/>
          <c:order val="12"/>
          <c:marker>
            <c:symbol val="none"/>
          </c:marker>
          <c:xVal>
            <c:numRef>
              <c:f>BASIC!$W$3:$W$230</c:f>
              <c:numCache>
                <c:formatCode>General</c:formatCode>
                <c:ptCount val="228"/>
                <c:pt idx="0">
                  <c:v>0.99935383812074075</c:v>
                </c:pt>
                <c:pt idx="1">
                  <c:v>1.0036571124029343</c:v>
                </c:pt>
                <c:pt idx="2">
                  <c:v>1.007949921588732</c:v>
                </c:pt>
                <c:pt idx="3">
                  <c:v>1.0122323565496221</c:v>
                </c:pt>
                <c:pt idx="4">
                  <c:v>1.0165045076500987</c:v>
                </c:pt>
                <c:pt idx="5">
                  <c:v>1.0207664647681178</c:v>
                </c:pt>
                <c:pt idx="6">
                  <c:v>1.025018317315169</c:v>
                </c:pt>
                <c:pt idx="7">
                  <c:v>1.0292601542559727</c:v>
                </c:pt>
                <c:pt idx="8">
                  <c:v>1.0334920641278504</c:v>
                </c:pt>
                <c:pt idx="9">
                  <c:v>1.0377141350597896</c:v>
                </c:pt>
                <c:pt idx="10">
                  <c:v>1.0419264547912337</c:v>
                </c:pt>
                <c:pt idx="11">
                  <c:v>1.0461291106906001</c:v>
                </c:pt>
                <c:pt idx="12">
                  <c:v>1.0503221897736099</c:v>
                </c:pt>
                <c:pt idx="13">
                  <c:v>1.0545057787213796</c:v>
                </c:pt>
                <c:pt idx="14">
                  <c:v>1.0586799638983757</c:v>
                </c:pt>
                <c:pt idx="15">
                  <c:v>1.0628448313701864</c:v>
                </c:pt>
                <c:pt idx="16">
                  <c:v>1.0670004669212028</c:v>
                </c:pt>
                <c:pt idx="17">
                  <c:v>1.0711469560721758</c:v>
                </c:pt>
                <c:pt idx="18">
                  <c:v>1.0752843840977115</c:v>
                </c:pt>
                <c:pt idx="19">
                  <c:v>1.0794128360437187</c:v>
                </c:pt>
                <c:pt idx="20">
                  <c:v>1.0835323967448098</c:v>
                </c:pt>
                <c:pt idx="21">
                  <c:v>1.0876431508417204</c:v>
                </c:pt>
                <c:pt idx="22">
                  <c:v>1.0917451827987306</c:v>
                </c:pt>
                <c:pt idx="23">
                  <c:v>1.0958385769211378</c:v>
                </c:pt>
                <c:pt idx="24">
                  <c:v>1.0999234173727939</c:v>
                </c:pt>
                <c:pt idx="25">
                  <c:v>1.1039997881937191</c:v>
                </c:pt>
                <c:pt idx="26">
                  <c:v>1.1080677733178383</c:v>
                </c:pt>
                <c:pt idx="27">
                  <c:v>1.112127456590849</c:v>
                </c:pt>
                <c:pt idx="28">
                  <c:v>1.1161789217882361</c:v>
                </c:pt>
                <c:pt idx="29">
                  <c:v>1.1202222526334802</c:v>
                </c:pt>
                <c:pt idx="30">
                  <c:v>1.1242575328164468</c:v>
                </c:pt>
                <c:pt idx="31">
                  <c:v>1.1282848460120287</c:v>
                </c:pt>
                <c:pt idx="32">
                  <c:v>1.1323042758990149</c:v>
                </c:pt>
                <c:pt idx="33">
                  <c:v>1.1363159061792447</c:v>
                </c:pt>
                <c:pt idx="34">
                  <c:v>1.1403198205970508</c:v>
                </c:pt>
                <c:pt idx="35">
                  <c:v>1.1443161029590414</c:v>
                </c:pt>
                <c:pt idx="36">
                  <c:v>1.1483048371542033</c:v>
                </c:pt>
                <c:pt idx="37">
                  <c:v>1.152286107174415</c:v>
                </c:pt>
                <c:pt idx="38">
                  <c:v>1.1562599971353227</c:v>
                </c:pt>
                <c:pt idx="39">
                  <c:v>1.1602265912976704</c:v>
                </c:pt>
                <c:pt idx="40">
                  <c:v>1.1641859740890776</c:v>
                </c:pt>
                <c:pt idx="41">
                  <c:v>1.1681382301262944</c:v>
                </c:pt>
                <c:pt idx="42">
                  <c:v>1.1720834442379842</c:v>
                </c:pt>
                <c:pt idx="43">
                  <c:v>1.1760217014880414</c:v>
                </c:pt>
                <c:pt idx="44">
                  <c:v>1.1799530871994934</c:v>
                </c:pt>
                <c:pt idx="45">
                  <c:v>1.1838776869789995</c:v>
                </c:pt>
                <c:pt idx="46">
                  <c:v>1.1877955867420156</c:v>
                </c:pt>
                <c:pt idx="47">
                  <c:v>1.1917068727386215</c:v>
                </c:pt>
                <c:pt idx="48">
                  <c:v>1.1956116315800682</c:v>
                </c:pt>
                <c:pt idx="49">
                  <c:v>1.1995099502660949</c:v>
                </c:pt>
                <c:pt idx="50">
                  <c:v>1.2034019162130283</c:v>
                </c:pt>
                <c:pt idx="51">
                  <c:v>1.2072876172827212</c:v>
                </c:pt>
                <c:pt idx="52">
                  <c:v>1.2111671418124004</c:v>
                </c:pt>
                <c:pt idx="53">
                  <c:v>1.2150405786454082</c:v>
                </c:pt>
                <c:pt idx="54">
                  <c:v>1.2189080171629554</c:v>
                </c:pt>
                <c:pt idx="55">
                  <c:v>1.2227695473168991</c:v>
                </c:pt>
                <c:pt idx="56">
                  <c:v>1.2266252596635954</c:v>
                </c:pt>
                <c:pt idx="57">
                  <c:v>1.2304752453989167</c:v>
                </c:pt>
                <c:pt idx="58">
                  <c:v>1.2343195963944575</c:v>
                </c:pt>
                <c:pt idx="59">
                  <c:v>1.2381584052350196</c:v>
                </c:pt>
                <c:pt idx="60">
                  <c:v>1.2419917652574359</c:v>
                </c:pt>
                <c:pt idx="61">
                  <c:v>1.2458197705907987</c:v>
                </c:pt>
                <c:pt idx="62">
                  <c:v>1.2496425161981703</c:v>
                </c:pt>
                <c:pt idx="63">
                  <c:v>1.253460097919872</c:v>
                </c:pt>
                <c:pt idx="64">
                  <c:v>1.2572726125184119</c:v>
                </c:pt>
                <c:pt idx="65">
                  <c:v>1.2610801577251685</c:v>
                </c:pt>
                <c:pt idx="66">
                  <c:v>1.2648828322888912</c:v>
                </c:pt>
                <c:pt idx="67">
                  <c:v>1.2686807360261754</c:v>
                </c:pt>
                <c:pt idx="68">
                  <c:v>1.2724739698739582</c:v>
                </c:pt>
                <c:pt idx="69">
                  <c:v>1.276262635944196</c:v>
                </c:pt>
                <c:pt idx="70">
                  <c:v>1.2800468375808449</c:v>
                </c:pt>
                <c:pt idx="71">
                  <c:v>1.2838266794192421</c:v>
                </c:pt>
                <c:pt idx="72">
                  <c:v>1.2876022674480709</c:v>
                </c:pt>
                <c:pt idx="73">
                  <c:v>1.2913737090740509</c:v>
                </c:pt>
                <c:pt idx="74">
                  <c:v>1.295141113189485</c:v>
                </c:pt>
                <c:pt idx="75">
                  <c:v>1.2989045902428917</c:v>
                </c:pt>
                <c:pt idx="76">
                  <c:v>1.3026642523128524</c:v>
                </c:pt>
                <c:pt idx="77">
                  <c:v>1.3064202131853251</c:v>
                </c:pt>
                <c:pt idx="78">
                  <c:v>1.3101725884345881</c:v>
                </c:pt>
                <c:pt idx="79">
                  <c:v>1.313921495508096</c:v>
                </c:pt>
                <c:pt idx="80">
                  <c:v>1.3176670538154613</c:v>
                </c:pt>
                <c:pt idx="81">
                  <c:v>1.3214093848218289</c:v>
                </c:pt>
                <c:pt idx="82">
                  <c:v>1.3251486121459628</c:v>
                </c:pt>
                <c:pt idx="83">
                  <c:v>1.3288848616633187</c:v>
                </c:pt>
                <c:pt idx="84">
                  <c:v>1.3326182616144591</c:v>
                </c:pt>
                <c:pt idx="85">
                  <c:v>1.3363489427191748</c:v>
                </c:pt>
                <c:pt idx="86">
                  <c:v>1.3400770382966898</c:v>
                </c:pt>
                <c:pt idx="87">
                  <c:v>1.3438026843923925</c:v>
                </c:pt>
                <c:pt idx="88">
                  <c:v>1.3475260199115398</c:v>
                </c:pt>
                <c:pt idx="89">
                  <c:v>1.3512471867604432</c:v>
                </c:pt>
                <c:pt idx="90">
                  <c:v>1.3549663299956802</c:v>
                </c:pt>
                <c:pt idx="91">
                  <c:v>1.3586835979819074</c:v>
                </c:pt>
                <c:pt idx="92">
                  <c:v>1.3623991425589403</c:v>
                </c:pt>
                <c:pt idx="93">
                  <c:v>1.366113119218791</c:v>
                </c:pt>
                <c:pt idx="94">
                  <c:v>1.3698256872934167</c:v>
                </c:pt>
                <c:pt idx="95">
                  <c:v>1.3735370101540452</c:v>
                </c:pt>
                <c:pt idx="96">
                  <c:v>1.3772472554229509</c:v>
                </c:pt>
                <c:pt idx="97">
                  <c:v>1.3809565951987335</c:v>
                </c:pt>
                <c:pt idx="98">
                  <c:v>1.3846652062961544</c:v>
                </c:pt>
                <c:pt idx="99">
                  <c:v>1.3883732705017666</c:v>
                </c:pt>
                <c:pt idx="100">
                  <c:v>1.3920809748466492</c:v>
                </c:pt>
                <c:pt idx="101">
                  <c:v>1.395788511897728</c:v>
                </c:pt>
                <c:pt idx="102">
                  <c:v>1.3994960800692851</c:v>
                </c:pt>
                <c:pt idx="103">
                  <c:v>1.4032038839564369</c:v>
                </c:pt>
                <c:pt idx="104">
                  <c:v>1.4069121346925726</c:v>
                </c:pt>
                <c:pt idx="105">
                  <c:v>1.4106210503329268</c:v>
                </c:pt>
                <c:pt idx="106">
                  <c:v>1.4143308562667165</c:v>
                </c:pt>
                <c:pt idx="107">
                  <c:v>1.4180417856605523</c:v>
                </c:pt>
                <c:pt idx="108">
                  <c:v>1.421754079936125</c:v>
                </c:pt>
                <c:pt idx="109">
                  <c:v>1.4254679892855344</c:v>
                </c:pt>
                <c:pt idx="110">
                  <c:v>1.4291837732280082</c:v>
                </c:pt>
                <c:pt idx="111">
                  <c:v>1.4329017012122216</c:v>
                </c:pt>
                <c:pt idx="112">
                  <c:v>1.4366220532689484</c:v>
                </c:pt>
                <c:pt idx="113">
                  <c:v>1.4403451207193387</c:v>
                </c:pt>
                <c:pt idx="114">
                  <c:v>1.4440712069448318</c:v>
                </c:pt>
                <c:pt idx="115">
                  <c:v>1.4478006282254461</c:v>
                </c:pt>
                <c:pt idx="116">
                  <c:v>1.4515337146541378</c:v>
                </c:pt>
                <c:pt idx="117">
                  <c:v>1.4552708111358765</c:v>
                </c:pt>
                <c:pt idx="118">
                  <c:v>1.4590122784813726</c:v>
                </c:pt>
                <c:pt idx="119">
                  <c:v>1.4627584946067025</c:v>
                </c:pt>
                <c:pt idx="120">
                  <c:v>1.4665098558517549</c:v>
                </c:pt>
                <c:pt idx="121">
                  <c:v>1.4702667784322663</c:v>
                </c:pt>
                <c:pt idx="122">
                  <c:v>1.4740297000424785</c:v>
                </c:pt>
                <c:pt idx="123">
                  <c:v>1.4777990816280131</c:v>
                </c:pt>
                <c:pt idx="124">
                  <c:v>1.4815754093516875</c:v>
                </c:pt>
                <c:pt idx="125">
                  <c:v>1.4853591967785957</c:v>
                </c:pt>
                <c:pt idx="126">
                  <c:v>1.4891509873111239</c:v>
                </c:pt>
                <c:pt idx="127">
                  <c:v>1.4929513569097939</c:v>
                </c:pt>
                <c:pt idx="128">
                  <c:v>1.4967609171419463</c:v>
                </c:pt>
                <c:pt idx="129">
                  <c:v>1.5005803186077911</c:v>
                </c:pt>
                <c:pt idx="130">
                  <c:v>1.5044102548023932</c:v>
                </c:pt>
                <c:pt idx="131">
                  <c:v>1.5082514664830589</c:v>
                </c:pt>
                <c:pt idx="132">
                  <c:v>1.5121047466250273</c:v>
                </c:pt>
                <c:pt idx="133">
                  <c:v>1.5159709460647892</c:v>
                </c:pt>
                <c:pt idx="134">
                  <c:v>1.5198509799506008</c:v>
                </c:pt>
                <c:pt idx="135">
                  <c:v>1.5237458351449489</c:v>
                </c:pt>
                <c:pt idx="136">
                  <c:v>1.5276565787551482</c:v>
                </c:pt>
                <c:pt idx="137">
                  <c:v>1.5315843680077781</c:v>
                </c:pt>
                <c:pt idx="138">
                  <c:v>1.5355304617326928</c:v>
                </c:pt>
                <c:pt idx="139">
                  <c:v>1.5394962337861589</c:v>
                </c:pt>
                <c:pt idx="140">
                  <c:v>1.5434831888247296</c:v>
                </c:pt>
                <c:pt idx="141">
                  <c:v>1.5474929809478202</c:v>
                </c:pt>
                <c:pt idx="142">
                  <c:v>1.5515274358660895</c:v>
                </c:pt>
                <c:pt idx="143">
                  <c:v>1.5555885774365181</c:v>
                </c:pt>
                <c:pt idx="144">
                  <c:v>1.5596786596503731</c:v>
                </c:pt>
                <c:pt idx="145">
                  <c:v>1.5638002054912665</c:v>
                </c:pt>
                <c:pt idx="146">
                  <c:v>1.5679560545327833</c:v>
                </c:pt>
                <c:pt idx="147">
                  <c:v>1.5721494217710987</c:v>
                </c:pt>
                <c:pt idx="148">
                  <c:v>1.5763839710668965</c:v>
                </c:pt>
                <c:pt idx="149">
                  <c:v>1.5806639078244011</c:v>
                </c:pt>
                <c:pt idx="150">
                  <c:v>1.5849940973538441</c:v>
                </c:pt>
                <c:pt idx="151">
                  <c:v>1.5893802180526375</c:v>
                </c:pt>
                <c:pt idx="152">
                  <c:v>1.5938289626003692</c:v>
                </c:pt>
                <c:pt idx="153">
                  <c:v>1.5983483066377104</c:v>
                </c:pt>
                <c:pt idx="154">
                  <c:v>1.6029478743559193</c:v>
                </c:pt>
                <c:pt idx="155">
                  <c:v>1.6076394466979418</c:v>
                </c:pt>
                <c:pt idx="156">
                  <c:v>1.612437685389551</c:v>
                </c:pt>
                <c:pt idx="157">
                  <c:v>1.6173611943994382</c:v>
                </c:pt>
                <c:pt idx="158">
                  <c:v>1.6224341294517362</c:v>
                </c:pt>
                <c:pt idx="159">
                  <c:v>1.6276887390978472</c:v>
                </c:pt>
                <c:pt idx="160">
                  <c:v>1.6331695790984819</c:v>
                </c:pt>
                <c:pt idx="161">
                  <c:v>1.6389409459654878</c:v>
                </c:pt>
                <c:pt idx="162">
                  <c:v>1.6451010727956192</c:v>
                </c:pt>
                <c:pt idx="163">
                  <c:v>1.6518123014955362</c:v>
                </c:pt>
                <c:pt idx="164">
                  <c:v>1.6593758699874803</c:v>
                </c:pt>
                <c:pt idx="165">
                  <c:v>1.6684690487033711</c:v>
                </c:pt>
                <c:pt idx="166">
                  <c:v>1.6813913222963466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C79D-4B9D-9E96-AF39BCA45E13}"/>
            </c:ext>
          </c:extLst>
        </c:ser>
        <c:ser>
          <c:idx val="35"/>
          <c:order val="13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BASIC!$X$3:$X$230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A-C79D-4B9D-9E96-AF39BCA45E13}"/>
            </c:ext>
          </c:extLst>
        </c:ser>
        <c:ser>
          <c:idx val="36"/>
          <c:order val="14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BASIC!$Z$3:$Z$230</c:f>
              <c:numCache>
                <c:formatCode>General</c:formatCode>
                <c:ptCount val="228"/>
                <c:pt idx="0">
                  <c:v>0.99933750805296717</c:v>
                </c:pt>
                <c:pt idx="1">
                  <c:v>1.0037510542113219</c:v>
                </c:pt>
                <c:pt idx="2">
                  <c:v>1.0081574469674501</c:v>
                </c:pt>
                <c:pt idx="3">
                  <c:v>1.0125567870077967</c:v>
                </c:pt>
                <c:pt idx="4">
                  <c:v>1.0169491737748657</c:v>
                </c:pt>
                <c:pt idx="5">
                  <c:v>1.0213347055045445</c:v>
                </c:pt>
                <c:pt idx="6">
                  <c:v>1.0257134792633278</c:v>
                </c:pt>
                <c:pt idx="7">
                  <c:v>1.0300855909854609</c:v>
                </c:pt>
                <c:pt idx="8">
                  <c:v>1.0344511355099792</c:v>
                </c:pt>
                <c:pt idx="9">
                  <c:v>1.0388102066177529</c:v>
                </c:pt>
                <c:pt idx="10">
                  <c:v>1.0431628970684736</c:v>
                </c:pt>
                <c:pt idx="11">
                  <c:v>1.0475092986376662</c:v>
                </c:pt>
                <c:pt idx="12">
                  <c:v>1.0518495021537271</c:v>
                </c:pt>
                <c:pt idx="13">
                  <c:v>1.05618359753503</c:v>
                </c:pt>
                <c:pt idx="14">
                  <c:v>1.0605116738271241</c:v>
                </c:pt>
                <c:pt idx="15">
                  <c:v>1.064833819240022</c:v>
                </c:pt>
                <c:pt idx="16">
                  <c:v>1.0691501211856773</c:v>
                </c:pt>
                <c:pt idx="17">
                  <c:v>1.0734606663155966</c:v>
                </c:pt>
                <c:pt idx="18">
                  <c:v>1.0777655405586797</c:v>
                </c:pt>
                <c:pt idx="19">
                  <c:v>1.0820648291592987</c:v>
                </c:pt>
                <c:pt idx="20">
                  <c:v>1.0863586167156289</c:v>
                </c:pt>
                <c:pt idx="21">
                  <c:v>1.0906469872183091</c:v>
                </c:pt>
                <c:pt idx="22">
                  <c:v>1.0949300240894224</c:v>
                </c:pt>
                <c:pt idx="23">
                  <c:v>1.0992078102218528</c:v>
                </c:pt>
                <c:pt idx="24">
                  <c:v>1.1034804280190529</c:v>
                </c:pt>
                <c:pt idx="25">
                  <c:v>1.1077479594352693</c:v>
                </c:pt>
                <c:pt idx="26">
                  <c:v>1.1120104860162356</c:v>
                </c:pt>
                <c:pt idx="27">
                  <c:v>1.1162680889404064</c:v>
                </c:pt>
                <c:pt idx="28">
                  <c:v>1.1205208490607623</c:v>
                </c:pt>
                <c:pt idx="29">
                  <c:v>1.1247688469472064</c:v>
                </c:pt>
                <c:pt idx="30">
                  <c:v>1.1290121629296466</c:v>
                </c:pt>
                <c:pt idx="31">
                  <c:v>1.133250877141752</c:v>
                </c:pt>
                <c:pt idx="32">
                  <c:v>1.1374850695654841</c:v>
                </c:pt>
                <c:pt idx="33">
                  <c:v>1.1417148200764151</c:v>
                </c:pt>
                <c:pt idx="34">
                  <c:v>1.1459402084899097</c:v>
                </c:pt>
                <c:pt idx="35">
                  <c:v>1.1501613146081937</c:v>
                </c:pt>
                <c:pt idx="36">
                  <c:v>1.154378218268423</c:v>
                </c:pt>
                <c:pt idx="37">
                  <c:v>1.1585909993917445</c:v>
                </c:pt>
                <c:pt idx="38">
                  <c:v>1.1627997380334603</c:v>
                </c:pt>
                <c:pt idx="39">
                  <c:v>1.1670045144343353</c:v>
                </c:pt>
                <c:pt idx="40">
                  <c:v>1.1712054090731281</c:v>
                </c:pt>
                <c:pt idx="41">
                  <c:v>1.1754025027204051</c:v>
                </c:pt>
                <c:pt idx="42">
                  <c:v>1.17959587649373</c:v>
                </c:pt>
                <c:pt idx="43">
                  <c:v>1.1837856119142895</c:v>
                </c:pt>
                <c:pt idx="44">
                  <c:v>1.187971790965038</c:v>
                </c:pt>
                <c:pt idx="45">
                  <c:v>1.19215449615047</c:v>
                </c:pt>
                <c:pt idx="46">
                  <c:v>1.1963338105580916</c:v>
                </c:pt>
                <c:pt idx="47">
                  <c:v>1.2005098179216789</c:v>
                </c:pt>
                <c:pt idx="48">
                  <c:v>1.2046826026864579</c:v>
                </c:pt>
                <c:pt idx="49">
                  <c:v>1.2088522500762893</c:v>
                </c:pt>
                <c:pt idx="50">
                  <c:v>1.2130188461629825</c:v>
                </c:pt>
                <c:pt idx="51">
                  <c:v>1.217182477937832</c:v>
                </c:pt>
                <c:pt idx="52">
                  <c:v>1.221343233385572</c:v>
                </c:pt>
                <c:pt idx="53">
                  <c:v>1.2255012015607956</c:v>
                </c:pt>
                <c:pt idx="54">
                  <c:v>1.2296564726670625</c:v>
                </c:pt>
                <c:pt idx="55">
                  <c:v>1.2338091381388054</c:v>
                </c:pt>
                <c:pt idx="56">
                  <c:v>1.2379592907261943</c:v>
                </c:pt>
                <c:pt idx="57">
                  <c:v>1.242107024583182</c:v>
                </c:pt>
                <c:pt idx="58">
                  <c:v>1.2462524353588489</c:v>
                </c:pt>
                <c:pt idx="59">
                  <c:v>1.2503956202922966</c:v>
                </c:pt>
                <c:pt idx="60">
                  <c:v>1.2545366783112912</c:v>
                </c:pt>
                <c:pt idx="61">
                  <c:v>1.2586757101348618</c:v>
                </c:pt>
                <c:pt idx="62">
                  <c:v>1.2628128183801235</c:v>
                </c:pt>
                <c:pt idx="63">
                  <c:v>1.2669481076735805</c:v>
                </c:pt>
                <c:pt idx="64">
                  <c:v>1.271081684767166</c:v>
                </c:pt>
                <c:pt idx="65">
                  <c:v>1.2752136586593468</c:v>
                </c:pt>
                <c:pt idx="66">
                  <c:v>1.2793441407216029</c:v>
                </c:pt>
                <c:pt idx="67">
                  <c:v>1.2834732448306192</c:v>
                </c:pt>
                <c:pt idx="68">
                  <c:v>1.2876010875065846</c:v>
                </c:pt>
                <c:pt idx="69">
                  <c:v>1.2917277880579654</c:v>
                </c:pt>
                <c:pt idx="70">
                  <c:v>1.2958534687332248</c:v>
                </c:pt>
                <c:pt idx="71">
                  <c:v>1.2999782548799286</c:v>
                </c:pt>
                <c:pt idx="72">
                  <c:v>1.3041022751117388</c:v>
                </c:pt>
                <c:pt idx="73">
                  <c:v>1.3082256614838801</c:v>
                </c:pt>
                <c:pt idx="74">
                  <c:v>1.3123485496776166</c:v>
                </c:pt>
                <c:pt idx="75">
                  <c:v>1.3164710791944119</c:v>
                </c:pt>
                <c:pt idx="76">
                  <c:v>1.3205933935604801</c:v>
                </c:pt>
                <c:pt idx="77">
                  <c:v>1.3247156405424407</c:v>
                </c:pt>
                <c:pt idx="78">
                  <c:v>1.3288379723749539</c:v>
                </c:pt>
                <c:pt idx="79">
                  <c:v>1.3329605460011649</c:v>
                </c:pt>
                <c:pt idx="80">
                  <c:v>1.3370835233270275</c:v>
                </c:pt>
                <c:pt idx="81">
                  <c:v>1.3412070714904625</c:v>
                </c:pt>
                <c:pt idx="82">
                  <c:v>1.3453313631466228</c:v>
                </c:pt>
                <c:pt idx="83">
                  <c:v>1.3494565767704481</c:v>
                </c:pt>
                <c:pt idx="84">
                  <c:v>1.3535828969779824</c:v>
                </c:pt>
                <c:pt idx="85">
                  <c:v>1.3577105148679747</c:v>
                </c:pt>
                <c:pt idx="86">
                  <c:v>1.3618396283853733</c:v>
                </c:pt>
                <c:pt idx="87">
                  <c:v>1.3659704427087216</c:v>
                </c:pt>
                <c:pt idx="88">
                  <c:v>1.3701031706633617</c:v>
                </c:pt>
                <c:pt idx="89">
                  <c:v>1.3742380331628019</c:v>
                </c:pt>
                <c:pt idx="90">
                  <c:v>1.3783752596807095</c:v>
                </c:pt>
                <c:pt idx="91">
                  <c:v>1.3825150887563475</c:v>
                </c:pt>
                <c:pt idx="92">
                  <c:v>1.3866577685364865</c:v>
                </c:pt>
                <c:pt idx="93">
                  <c:v>1.3908035573572846</c:v>
                </c:pt>
                <c:pt idx="94">
                  <c:v>1.3949527243699085</c:v>
                </c:pt>
                <c:pt idx="95">
                  <c:v>1.3991055502142247</c:v>
                </c:pt>
                <c:pt idx="96">
                  <c:v>1.4032623277452734</c:v>
                </c:pt>
                <c:pt idx="97">
                  <c:v>1.4074233628179644</c:v>
                </c:pt>
                <c:pt idx="98">
                  <c:v>1.41158897513598</c:v>
                </c:pt>
                <c:pt idx="99">
                  <c:v>1.4157594991716778</c:v>
                </c:pt>
                <c:pt idx="100">
                  <c:v>1.4199352851647091</c:v>
                </c:pt>
                <c:pt idx="101">
                  <c:v>1.4241167002079844</c:v>
                </c:pt>
                <c:pt idx="102">
                  <c:v>1.4283041294308989</c:v>
                </c:pt>
                <c:pt idx="103">
                  <c:v>1.4324979772910107</c:v>
                </c:pt>
                <c:pt idx="104">
                  <c:v>1.4366986689869985</c:v>
                </c:pt>
                <c:pt idx="105">
                  <c:v>1.4409066520075446</c:v>
                </c:pt>
                <c:pt idx="106">
                  <c:v>1.4451223978330272</c:v>
                </c:pt>
                <c:pt idx="107">
                  <c:v>1.4493464038093096</c:v>
                </c:pt>
                <c:pt idx="108">
                  <c:v>1.4535791952161474</c:v>
                </c:pt>
                <c:pt idx="109">
                  <c:v>1.4578213275560674</c:v>
                </c:pt>
                <c:pt idx="110">
                  <c:v>1.4620733890939968</c:v>
                </c:pt>
                <c:pt idx="111">
                  <c:v>1.4663360036828681</c:v>
                </c:pt>
                <c:pt idx="112">
                  <c:v>1.4706098339165528</c:v>
                </c:pt>
                <c:pt idx="113">
                  <c:v>1.4748955846587462</c:v>
                </c:pt>
                <c:pt idx="114">
                  <c:v>1.479194007005306</c:v>
                </c:pt>
                <c:pt idx="115">
                  <c:v>1.4835059027482476</c:v>
                </c:pt>
                <c:pt idx="116">
                  <c:v>1.4878321294227363</c:v>
                </c:pt>
                <c:pt idx="117">
                  <c:v>1.4921736060345696</c:v>
                </c:pt>
                <c:pt idx="118">
                  <c:v>1.4965313195854666</c:v>
                </c:pt>
                <c:pt idx="119">
                  <c:v>1.5009063325383531</c:v>
                </c:pt>
                <c:pt idx="120">
                  <c:v>1.5052997913955839</c:v>
                </c:pt>
                <c:pt idx="121">
                  <c:v>1.5097129366021198</c:v>
                </c:pt>
                <c:pt idx="122">
                  <c:v>1.5141471140349412</c:v>
                </c:pt>
                <c:pt idx="123">
                  <c:v>1.5186037884029813</c:v>
                </c:pt>
                <c:pt idx="124">
                  <c:v>1.5230845589629871</c:v>
                </c:pt>
                <c:pt idx="125">
                  <c:v>1.5275911780620195</c:v>
                </c:pt>
                <c:pt idx="126">
                  <c:v>1.5321255731552805</c:v>
                </c:pt>
                <c:pt idx="127">
                  <c:v>1.5366898731305469</c:v>
                </c:pt>
                <c:pt idx="128">
                  <c:v>1.54128644001469</c:v>
                </c:pt>
                <c:pt idx="129">
                  <c:v>1.545917907468076</c:v>
                </c:pt>
                <c:pt idx="130">
                  <c:v>1.5505872279251893</c:v>
                </c:pt>
                <c:pt idx="131">
                  <c:v>1.5552977308679445</c:v>
                </c:pt>
                <c:pt idx="132">
                  <c:v>1.5600531956033794</c:v>
                </c:pt>
                <c:pt idx="133">
                  <c:v>1.5648579431849183</c:v>
                </c:pt>
                <c:pt idx="134">
                  <c:v>1.5697169539640918</c:v>
                </c:pt>
                <c:pt idx="135">
                  <c:v>1.5746360200067189</c:v>
                </c:pt>
                <c:pt idx="136">
                  <c:v>1.5796219457823408</c:v>
                </c:pt>
                <c:pt idx="137">
                  <c:v>1.5846828170379108</c:v>
                </c:pt>
                <c:pt idx="138">
                  <c:v>1.5898283681782956</c:v>
                </c:pt>
                <c:pt idx="139">
                  <c:v>1.595070495679884</c:v>
                </c:pt>
                <c:pt idx="140">
                  <c:v>1.6004239945354957</c:v>
                </c:pt>
                <c:pt idx="141">
                  <c:v>1.605907647374393</c:v>
                </c:pt>
                <c:pt idx="142">
                  <c:v>1.611545894680219</c:v>
                </c:pt>
                <c:pt idx="143">
                  <c:v>1.6173715110634725</c:v>
                </c:pt>
                <c:pt idx="144">
                  <c:v>1.6234301325014291</c:v>
                </c:pt>
                <c:pt idx="145">
                  <c:v>1.6297884603721666</c:v>
                </c:pt>
                <c:pt idx="146">
                  <c:v>1.6365505380110905</c:v>
                </c:pt>
                <c:pt idx="147">
                  <c:v>1.6438943589045163</c:v>
                </c:pt>
                <c:pt idx="148">
                  <c:v>1.6521712238741983</c:v>
                </c:pt>
                <c:pt idx="149">
                  <c:v>1.6622788867183871</c:v>
                </c:pt>
                <c:pt idx="150">
                  <c:v>1.6789542324713218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C79D-4B9D-9E96-AF39BCA45E13}"/>
            </c:ext>
          </c:extLst>
        </c:ser>
        <c:ser>
          <c:idx val="37"/>
          <c:order val="15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BASIC!$AG$3:$AG$230</c:f>
              <c:numCache>
                <c:formatCode>General</c:formatCode>
                <c:ptCount val="228"/>
                <c:pt idx="0">
                  <c:v>1.7980034610763109</c:v>
                </c:pt>
                <c:pt idx="1">
                  <c:v>1.7974937299322786</c:v>
                </c:pt>
                <c:pt idx="2">
                  <c:v>1.7970018120329081</c:v>
                </c:pt>
                <c:pt idx="3">
                  <c:v>1.7965273582789791</c:v>
                </c:pt>
                <c:pt idx="4">
                  <c:v>1.796070023839893</c:v>
                </c:pt>
                <c:pt idx="5">
                  <c:v>1.795629468024516</c:v>
                </c:pt>
                <c:pt idx="6">
                  <c:v>1.795205354153552</c:v>
                </c:pt>
                <c:pt idx="7">
                  <c:v>1.7947973494333396</c:v>
                </c:pt>
                <c:pt idx="8">
                  <c:v>1.7944051248310544</c:v>
                </c:pt>
                <c:pt idx="9">
                  <c:v>1.7940283549511726</c:v>
                </c:pt>
                <c:pt idx="10">
                  <c:v>1.7936667179131669</c:v>
                </c:pt>
                <c:pt idx="11">
                  <c:v>1.793319895230334</c:v>
                </c:pt>
                <c:pt idx="12">
                  <c:v>1.7929875716896715</c:v>
                </c:pt>
                <c:pt idx="13">
                  <c:v>1.7926694352327108</c:v>
                </c:pt>
                <c:pt idx="14">
                  <c:v>1.7923651768372297</c:v>
                </c:pt>
                <c:pt idx="15">
                  <c:v>1.7920744903997572</c:v>
                </c:pt>
                <c:pt idx="16">
                  <c:v>1.7917970726187533</c:v>
                </c:pt>
                <c:pt idx="17">
                  <c:v>1.791532622878395</c:v>
                </c:pt>
                <c:pt idx="18">
                  <c:v>1.7912808431328398</c:v>
                </c:pt>
                <c:pt idx="19">
                  <c:v>1.791041437790905</c:v>
                </c:pt>
                <c:pt idx="20">
                  <c:v>1.7908141136009905</c:v>
                </c:pt>
                <c:pt idx="21">
                  <c:v>1.7905985795362245</c:v>
                </c:pt>
                <c:pt idx="22">
                  <c:v>1.7903945466796132</c:v>
                </c:pt>
                <c:pt idx="23">
                  <c:v>1.7902017281091716</c:v>
                </c:pt>
                <c:pt idx="24">
                  <c:v>1.7900198387828525</c:v>
                </c:pt>
                <c:pt idx="25">
                  <c:v>1.7898485954231527</c:v>
                </c:pt>
                <c:pt idx="26">
                  <c:v>1.7896877164012979</c:v>
                </c:pt>
                <c:pt idx="27">
                  <c:v>1.789536921620825</c:v>
                </c:pt>
                <c:pt idx="28">
                  <c:v>1.7893959324004303</c:v>
                </c:pt>
                <c:pt idx="29">
                  <c:v>1.7892644713559513</c:v>
                </c:pt>
                <c:pt idx="30">
                  <c:v>1.7891422622813087</c:v>
                </c:pt>
                <c:pt idx="31">
                  <c:v>1.7890290300282177</c:v>
                </c:pt>
                <c:pt idx="32">
                  <c:v>1.788924500384566</c:v>
                </c:pt>
                <c:pt idx="33">
                  <c:v>1.7888283999511898</c:v>
                </c:pt>
                <c:pt idx="34">
                  <c:v>1.7887404560169236</c:v>
                </c:pt>
                <c:pt idx="35">
                  <c:v>1.7886603964316987</c:v>
                </c:pt>
                <c:pt idx="36">
                  <c:v>1.788587949477473</c:v>
                </c:pt>
                <c:pt idx="37">
                  <c:v>1.7885228437367808</c:v>
                </c:pt>
                <c:pt idx="38">
                  <c:v>1.7884648079586718</c:v>
                </c:pt>
                <c:pt idx="39">
                  <c:v>1.7884135709217721</c:v>
                </c:pt>
                <c:pt idx="40">
                  <c:v>1.7883688612942439</c:v>
                </c:pt>
                <c:pt idx="41">
                  <c:v>1.7883304074903039</c:v>
                </c:pt>
                <c:pt idx="42">
                  <c:v>1.7882979375230919</c:v>
                </c:pt>
                <c:pt idx="43">
                  <c:v>1.7882711788534953</c:v>
                </c:pt>
                <c:pt idx="44">
                  <c:v>1.7882498582346511</c:v>
                </c:pt>
                <c:pt idx="45">
                  <c:v>1.7882337015517713</c:v>
                </c:pt>
                <c:pt idx="46">
                  <c:v>1.7882224336568762</c:v>
                </c:pt>
                <c:pt idx="47">
                  <c:v>1.7882157781980859</c:v>
                </c:pt>
                <c:pt idx="48">
                  <c:v>1.7882134574430255</c:v>
                </c:pt>
                <c:pt idx="49">
                  <c:v>1.7882151920958818</c:v>
                </c:pt>
                <c:pt idx="50">
                  <c:v>1.788220701107613</c:v>
                </c:pt>
                <c:pt idx="51">
                  <c:v>1.7882297014788513</c:v>
                </c:pt>
                <c:pt idx="52">
                  <c:v>1.7882419080548488</c:v>
                </c:pt>
                <c:pt idx="53">
                  <c:v>1.7882570333119507</c:v>
                </c:pt>
                <c:pt idx="54">
                  <c:v>1.7882747871348936</c:v>
                </c:pt>
                <c:pt idx="55">
                  <c:v>1.7882948765842741</c:v>
                </c:pt>
                <c:pt idx="56">
                  <c:v>1.7883170056534079</c:v>
                </c:pt>
                <c:pt idx="57">
                  <c:v>1.7883408750138077</c:v>
                </c:pt>
                <c:pt idx="58">
                  <c:v>1.7883661817483949</c:v>
                </c:pt>
                <c:pt idx="59">
                  <c:v>1.7883926190714914</c:v>
                </c:pt>
                <c:pt idx="60">
                  <c:v>1.7884198760346073</c:v>
                </c:pt>
                <c:pt idx="61">
                  <c:v>1.7884476372169056</c:v>
                </c:pt>
                <c:pt idx="62">
                  <c:v>1.7884755823991401</c:v>
                </c:pt>
                <c:pt idx="63">
                  <c:v>1.788503386219797</c:v>
                </c:pt>
                <c:pt idx="64">
                  <c:v>1.7885307178120151</c:v>
                </c:pt>
                <c:pt idx="65">
                  <c:v>1.7885572404197461</c:v>
                </c:pt>
                <c:pt idx="66">
                  <c:v>1.7885826109914917</c:v>
                </c:pt>
                <c:pt idx="67">
                  <c:v>1.788606479749796</c:v>
                </c:pt>
                <c:pt idx="68">
                  <c:v>1.7886284897344915</c:v>
                </c:pt>
                <c:pt idx="69">
                  <c:v>1.7886482763175129</c:v>
                </c:pt>
                <c:pt idx="70">
                  <c:v>1.7886654666869104</c:v>
                </c:pt>
                <c:pt idx="71">
                  <c:v>1.7886796792974062</c:v>
                </c:pt>
                <c:pt idx="72">
                  <c:v>1.7886905232846479</c:v>
                </c:pt>
                <c:pt idx="73">
                  <c:v>1.7886975978399491</c:v>
                </c:pt>
                <c:pt idx="74">
                  <c:v>1.7887004915420739</c:v>
                </c:pt>
                <c:pt idx="75">
                  <c:v>1.7886987816421402</c:v>
                </c:pt>
                <c:pt idx="76">
                  <c:v>1.7886920332974416</c:v>
                </c:pt>
                <c:pt idx="77">
                  <c:v>1.7886797987494301</c:v>
                </c:pt>
                <c:pt idx="78">
                  <c:v>1.7886616164406384</c:v>
                </c:pt>
                <c:pt idx="79">
                  <c:v>1.7886370100647075</c:v>
                </c:pt>
                <c:pt idx="80">
                  <c:v>1.7886054875430766</c:v>
                </c:pt>
                <c:pt idx="81">
                  <c:v>1.7885665399210797</c:v>
                </c:pt>
                <c:pt idx="82">
                  <c:v>1.7885196401754135</c:v>
                </c:pt>
                <c:pt idx="83">
                  <c:v>1.7884642419239472</c:v>
                </c:pt>
                <c:pt idx="84">
                  <c:v>1.7883997780277441</c:v>
                </c:pt>
                <c:pt idx="85">
                  <c:v>1.788325659073926</c:v>
                </c:pt>
                <c:pt idx="86">
                  <c:v>1.7882412717265912</c:v>
                </c:pt>
                <c:pt idx="87">
                  <c:v>1.7881459769312811</c:v>
                </c:pt>
                <c:pt idx="88">
                  <c:v>1.7880391079567068</c:v>
                </c:pt>
                <c:pt idx="89">
                  <c:v>1.7879199682551348</c:v>
                </c:pt>
                <c:pt idx="90">
                  <c:v>1.7877878291203497</c:v>
                </c:pt>
                <c:pt idx="91">
                  <c:v>1.7876419271191863</c:v>
                </c:pt>
                <c:pt idx="92">
                  <c:v>1.7874814612691359</c:v>
                </c:pt>
                <c:pt idx="93">
                  <c:v>1.787305589930541</c:v>
                </c:pt>
                <c:pt idx="94">
                  <c:v>1.7871134273771609</c:v>
                </c:pt>
                <c:pt idx="95">
                  <c:v>1.7869040400034246</c:v>
                </c:pt>
                <c:pt idx="96">
                  <c:v>1.7866764421200199</c:v>
                </c:pt>
                <c:pt idx="97">
                  <c:v>1.7864295912818127</c:v>
                </c:pt>
                <c:pt idx="98">
                  <c:v>1.7861623830828066</c:v>
                </c:pt>
                <c:pt idx="99">
                  <c:v>1.7858736453418298</c:v>
                </c:pt>
                <c:pt idx="100">
                  <c:v>1.7855621315893802</c:v>
                </c:pt>
                <c:pt idx="101">
                  <c:v>1.7852265137500749</c:v>
                </c:pt>
                <c:pt idx="102">
                  <c:v>1.7848653738958291</c:v>
                </c:pt>
                <c:pt idx="103">
                  <c:v>1.7844771949211953</c:v>
                </c:pt>
                <c:pt idx="104">
                  <c:v>1.7840603499636254</c:v>
                </c:pt>
                <c:pt idx="105">
                  <c:v>1.7836130903556064</c:v>
                </c:pt>
                <c:pt idx="106">
                  <c:v>1.7831335318517636</c:v>
                </c:pt>
                <c:pt idx="107">
                  <c:v>1.7826196388190827</c:v>
                </c:pt>
                <c:pt idx="108">
                  <c:v>1.7820692060094081</c:v>
                </c:pt>
                <c:pt idx="109">
                  <c:v>1.7814798374464047</c:v>
                </c:pt>
                <c:pt idx="110">
                  <c:v>1.7808489218481833</c:v>
                </c:pt>
                <c:pt idx="111">
                  <c:v>1.7801736038644616</c:v>
                </c:pt>
                <c:pt idx="112">
                  <c:v>1.779450750222686</c:v>
                </c:pt>
                <c:pt idx="113">
                  <c:v>1.7786769096367068</c:v>
                </c:pt>
                <c:pt idx="114">
                  <c:v>1.7778482650134504</c:v>
                </c:pt>
                <c:pt idx="115">
                  <c:v>1.7769605760688427</c:v>
                </c:pt>
                <c:pt idx="116">
                  <c:v>1.7760091098917288</c:v>
                </c:pt>
                <c:pt idx="117">
                  <c:v>1.7749885562122345</c:v>
                </c:pt>
                <c:pt idx="118">
                  <c:v>1.7738929230477158</c:v>
                </c:pt>
                <c:pt idx="119">
                  <c:v>1.7727154068765953</c:v>
                </c:pt>
                <c:pt idx="120">
                  <c:v>1.7714482293155907</c:v>
                </c:pt>
                <c:pt idx="121">
                  <c:v>1.7700824291130917</c:v>
                </c:pt>
                <c:pt idx="122">
                  <c:v>1.7686075935823051</c:v>
                </c:pt>
                <c:pt idx="123">
                  <c:v>1.7670115064911167</c:v>
                </c:pt>
                <c:pt idx="124">
                  <c:v>1.7652796783891829</c:v>
                </c:pt>
                <c:pt idx="125">
                  <c:v>1.7633947077362011</c:v>
                </c:pt>
                <c:pt idx="126">
                  <c:v>1.761335392184026</c:v>
                </c:pt>
                <c:pt idx="127">
                  <c:v>1.7590754598458362</c:v>
                </c:pt>
                <c:pt idx="128">
                  <c:v>1.7565817022855572</c:v>
                </c:pt>
                <c:pt idx="129">
                  <c:v>1.7538111263948208</c:v>
                </c:pt>
                <c:pt idx="130">
                  <c:v>1.7507064165498611</c:v>
                </c:pt>
                <c:pt idx="131">
                  <c:v>1.7471883063460625</c:v>
                </c:pt>
                <c:pt idx="132">
                  <c:v>1.7431418536105421</c:v>
                </c:pt>
                <c:pt idx="133">
                  <c:v>1.7383894403696372</c:v>
                </c:pt>
                <c:pt idx="134">
                  <c:v>1.7326306861481648</c:v>
                </c:pt>
                <c:pt idx="135">
                  <c:v>1.7252816942468745</c:v>
                </c:pt>
                <c:pt idx="136">
                  <c:v>1.7148849359864593</c:v>
                </c:pt>
                <c:pt idx="137">
                  <c:v>1.6942239096108969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C-C79D-4B9D-9E96-AF39BCA45E13}"/>
            </c:ext>
          </c:extLst>
        </c:ser>
        <c:ser>
          <c:idx val="38"/>
          <c:order val="16"/>
          <c:marker>
            <c:symbol val="none"/>
          </c:marker>
          <c:xVal>
            <c:numRef>
              <c:f>BASIC!$AF$3:$AF$230</c:f>
              <c:numCache>
                <c:formatCode>General</c:formatCode>
                <c:ptCount val="228"/>
                <c:pt idx="0">
                  <c:v>0.99931374563295394</c:v>
                </c:pt>
                <c:pt idx="1">
                  <c:v>1.0038849578137143</c:v>
                </c:pt>
                <c:pt idx="2">
                  <c:v>1.0084472613505648</c:v>
                </c:pt>
                <c:pt idx="3">
                  <c:v>1.0130007730521566</c:v>
                </c:pt>
                <c:pt idx="4">
                  <c:v>1.0175456089741812</c:v>
                </c:pt>
                <c:pt idx="5">
                  <c:v>1.0220818844542183</c:v>
                </c:pt>
                <c:pt idx="6">
                  <c:v>1.0266097141466439</c:v>
                </c:pt>
                <c:pt idx="7">
                  <c:v>1.0311292120575755</c:v>
                </c:pt>
                <c:pt idx="8">
                  <c:v>1.0356404915799566</c:v>
                </c:pt>
                <c:pt idx="9">
                  <c:v>1.0401436655287457</c:v>
                </c:pt>
                <c:pt idx="10">
                  <c:v>1.0446388461762719</c:v>
                </c:pt>
                <c:pt idx="11">
                  <c:v>1.0491261452877929</c:v>
                </c:pt>
                <c:pt idx="12">
                  <c:v>1.0536056741572704</c:v>
                </c:pt>
                <c:pt idx="13">
                  <c:v>1.058077543643408</c:v>
                </c:pt>
                <c:pt idx="14">
                  <c:v>1.062541864205985</c:v>
                </c:pt>
                <c:pt idx="15">
                  <c:v>1.0669987459425283</c:v>
                </c:pt>
                <c:pt idx="16">
                  <c:v>1.0714482986253449</c:v>
                </c:pt>
                <c:pt idx="17">
                  <c:v>1.0758906317389783</c:v>
                </c:pt>
                <c:pt idx="18">
                  <c:v>1.0803258545181003</c:v>
                </c:pt>
                <c:pt idx="19">
                  <c:v>1.0847540759859242</c:v>
                </c:pt>
                <c:pt idx="20">
                  <c:v>1.0891754049931284</c:v>
                </c:pt>
                <c:pt idx="21">
                  <c:v>1.0935899502573998</c:v>
                </c:pt>
                <c:pt idx="22">
                  <c:v>1.0979978204035874</c:v>
                </c:pt>
                <c:pt idx="23">
                  <c:v>1.1023991240045696</c:v>
                </c:pt>
                <c:pt idx="24">
                  <c:v>1.1067939696228546</c:v>
                </c:pt>
                <c:pt idx="25">
                  <c:v>1.1111824658529836</c:v>
                </c:pt>
                <c:pt idx="26">
                  <c:v>1.1155647213648086</c:v>
                </c:pt>
                <c:pt idx="27">
                  <c:v>1.1199408449476846</c:v>
                </c:pt>
                <c:pt idx="28">
                  <c:v>1.1243109455556595</c:v>
                </c:pt>
                <c:pt idx="29">
                  <c:v>1.1286751323537336</c:v>
                </c:pt>
                <c:pt idx="30">
                  <c:v>1.1330335147652635</c:v>
                </c:pt>
                <c:pt idx="31">
                  <c:v>1.1373862025205654</c:v>
                </c:pt>
                <c:pt idx="32">
                  <c:v>1.1417333057068535</c:v>
                </c:pt>
                <c:pt idx="33">
                  <c:v>1.1460749348195349</c:v>
                </c:pt>
                <c:pt idx="34">
                  <c:v>1.1504112008150191</c:v>
                </c:pt>
                <c:pt idx="35">
                  <c:v>1.1547422151651017</c:v>
                </c:pt>
                <c:pt idx="36">
                  <c:v>1.159068089913037</c:v>
                </c:pt>
                <c:pt idx="37">
                  <c:v>1.163388937731423</c:v>
                </c:pt>
                <c:pt idx="38">
                  <c:v>1.1677048719820091</c:v>
                </c:pt>
                <c:pt idx="39">
                  <c:v>1.1720160067775527</c:v>
                </c:pt>
                <c:pt idx="40">
                  <c:v>1.1763224570458735</c:v>
                </c:pt>
                <c:pt idx="41">
                  <c:v>1.1806243385962252</c:v>
                </c:pt>
                <c:pt idx="42">
                  <c:v>1.1849217681881827</c:v>
                </c:pt>
                <c:pt idx="43">
                  <c:v>1.1892148636031594</c:v>
                </c:pt>
                <c:pt idx="44">
                  <c:v>1.1935037437187745</c:v>
                </c:pt>
                <c:pt idx="45">
                  <c:v>1.1977885285862369</c:v>
                </c:pt>
                <c:pt idx="46">
                  <c:v>1.2020693395109567</c:v>
                </c:pt>
                <c:pt idx="47">
                  <c:v>1.2063462991366001</c:v>
                </c:pt>
                <c:pt idx="48">
                  <c:v>1.2106195315328308</c:v>
                </c:pt>
                <c:pt idx="49">
                  <c:v>1.2148891622869842</c:v>
                </c:pt>
                <c:pt idx="50">
                  <c:v>1.2191553185999238</c:v>
                </c:pt>
                <c:pt idx="51">
                  <c:v>1.223418129386433</c:v>
                </c:pt>
                <c:pt idx="52">
                  <c:v>1.2276777253803743</c:v>
                </c:pt>
                <c:pt idx="53">
                  <c:v>1.2319342392450277</c:v>
                </c:pt>
                <c:pt idx="54">
                  <c:v>1.2361878056889293</c:v>
                </c:pt>
                <c:pt idx="55">
                  <c:v>1.2404385615876299</c:v>
                </c:pt>
                <c:pt idx="56">
                  <c:v>1.2446866461117845</c:v>
                </c:pt>
                <c:pt idx="57">
                  <c:v>1.2489322008620474</c:v>
                </c:pt>
                <c:pt idx="58">
                  <c:v>1.2531753700112871</c:v>
                </c:pt>
                <c:pt idx="59">
                  <c:v>1.2574163004546239</c:v>
                </c:pt>
                <c:pt idx="60">
                  <c:v>1.2616551419679352</c:v>
                </c:pt>
                <c:pt idx="61">
                  <c:v>1.265892047375438</c:v>
                </c:pt>
                <c:pt idx="62">
                  <c:v>1.2701271727270611</c:v>
                </c:pt>
                <c:pt idx="63">
                  <c:v>1.2743606774863565</c:v>
                </c:pt>
                <c:pt idx="64">
                  <c:v>1.2785927247298214</c:v>
                </c:pt>
                <c:pt idx="65">
                  <c:v>1.2828234813584887</c:v>
                </c:pt>
                <c:pt idx="66">
                  <c:v>1.2870531183228235</c:v>
                </c:pt>
                <c:pt idx="67">
                  <c:v>1.291281810861985</c:v>
                </c:pt>
                <c:pt idx="68">
                  <c:v>1.2955097387586763</c:v>
                </c:pt>
                <c:pt idx="69">
                  <c:v>1.2997370866108715</c:v>
                </c:pt>
                <c:pt idx="70">
                  <c:v>1.3039640441218592</c:v>
                </c:pt>
                <c:pt idx="71">
                  <c:v>1.308190806410207</c:v>
                </c:pt>
                <c:pt idx="72">
                  <c:v>1.3124175743413831</c:v>
                </c:pt>
                <c:pt idx="73">
                  <c:v>1.3166445548829542</c:v>
                </c:pt>
                <c:pt idx="74">
                  <c:v>1.3208719614855138</c:v>
                </c:pt>
                <c:pt idx="75">
                  <c:v>1.3251000144916725</c:v>
                </c:pt>
                <c:pt idx="76">
                  <c:v>1.3293289415757501</c:v>
                </c:pt>
                <c:pt idx="77">
                  <c:v>1.3335589782170605</c:v>
                </c:pt>
                <c:pt idx="78">
                  <c:v>1.3377903682100312</c:v>
                </c:pt>
                <c:pt idx="79">
                  <c:v>1.3420233642147337</c:v>
                </c:pt>
                <c:pt idx="80">
                  <c:v>1.3462582283518787</c:v>
                </c:pt>
                <c:pt idx="81">
                  <c:v>1.3504952328467386</c:v>
                </c:pt>
                <c:pt idx="82">
                  <c:v>1.3547346607270343</c:v>
                </c:pt>
                <c:pt idx="83">
                  <c:v>1.3589768065804602</c:v>
                </c:pt>
                <c:pt idx="84">
                  <c:v>1.3632219773781797</c:v>
                </c:pt>
                <c:pt idx="85">
                  <c:v>1.3674704933714508</c:v>
                </c:pt>
                <c:pt idx="86">
                  <c:v>1.3717226890694978</c:v>
                </c:pt>
                <c:pt idx="87">
                  <c:v>1.3759789143077727</c:v>
                </c:pt>
                <c:pt idx="88">
                  <c:v>1.3802395354170025</c:v>
                </c:pt>
                <c:pt idx="89">
                  <c:v>1.3845049365048676</c:v>
                </c:pt>
                <c:pt idx="90">
                  <c:v>1.3887755208637766</c:v>
                </c:pt>
                <c:pt idx="91">
                  <c:v>1.3930517125201733</c:v>
                </c:pt>
                <c:pt idx="92">
                  <c:v>1.3973339579430926</c:v>
                </c:pt>
                <c:pt idx="93">
                  <c:v>1.4016227279322455</c:v>
                </c:pt>
                <c:pt idx="94">
                  <c:v>1.4059185197091464</c:v>
                </c:pt>
                <c:pt idx="95">
                  <c:v>1.4102218592384139</c:v>
                </c:pt>
                <c:pt idx="96">
                  <c:v>1.414533303810741</c:v>
                </c:pt>
                <c:pt idx="97">
                  <c:v>1.4188534449242587</c:v>
                </c:pt>
                <c:pt idx="98">
                  <c:v>1.4231829115071708</c:v>
                </c:pt>
                <c:pt idx="99">
                  <c:v>1.4275223735320248</c:v>
                </c:pt>
                <c:pt idx="100">
                  <c:v>1.4318725460809003</c:v>
                </c:pt>
                <c:pt idx="101">
                  <c:v>1.4362341939316494</c:v>
                </c:pt>
                <c:pt idx="102">
                  <c:v>1.4406081367485359</c:v>
                </c:pt>
                <c:pt idx="103">
                  <c:v>1.4449952549766811</c:v>
                </c:pt>
                <c:pt idx="104">
                  <c:v>1.4493964965596156</c:v>
                </c:pt>
                <c:pt idx="105">
                  <c:v>1.4538128846236165</c:v>
                </c:pt>
                <c:pt idx="106">
                  <c:v>1.4582455263030736</c:v>
                </c:pt>
                <c:pt idx="107">
                  <c:v>1.4626956229191517</c:v>
                </c:pt>
                <c:pt idx="108">
                  <c:v>1.4671644817720977</c:v>
                </c:pt>
                <c:pt idx="109">
                  <c:v>1.4716535298684312</c:v>
                </c:pt>
                <c:pt idx="110">
                  <c:v>1.4761643299822695</c:v>
                </c:pt>
                <c:pt idx="111">
                  <c:v>1.4806985995504827</c:v>
                </c:pt>
                <c:pt idx="112">
                  <c:v>1.4852582330321158</c:v>
                </c:pt>
                <c:pt idx="113">
                  <c:v>1.489845328534152</c:v>
                </c:pt>
                <c:pt idx="114">
                  <c:v>1.4944622197332307</c:v>
                </c:pt>
                <c:pt idx="115">
                  <c:v>1.4991115144280944</c:v>
                </c:pt>
                <c:pt idx="116">
                  <c:v>1.5037961414712591</c:v>
                </c:pt>
                <c:pt idx="117">
                  <c:v>1.508519408396767</c:v>
                </c:pt>
                <c:pt idx="118">
                  <c:v>1.51328507285229</c:v>
                </c:pt>
                <c:pt idx="119">
                  <c:v>1.5180974320625342</c:v>
                </c:pt>
                <c:pt idx="120">
                  <c:v>1.5229614361583883</c:v>
                </c:pt>
                <c:pt idx="121">
                  <c:v>1.5278828335582337</c:v>
                </c:pt>
                <c:pt idx="122">
                  <c:v>1.5328683600986088</c:v>
                </c:pt>
                <c:pt idx="123">
                  <c:v>1.5379259889696688</c:v>
                </c:pt>
                <c:pt idx="124">
                  <c:v>1.543065266894899</c:v>
                </c:pt>
                <c:pt idx="125">
                  <c:v>1.5482977754859035</c:v>
                </c:pt>
                <c:pt idx="126">
                  <c:v>1.5536377791166516</c:v>
                </c:pt>
                <c:pt idx="127">
                  <c:v>1.559103159283137</c:v>
                </c:pt>
                <c:pt idx="128">
                  <c:v>1.5647168048479445</c:v>
                </c:pt>
                <c:pt idx="129">
                  <c:v>1.5705087587687354</c:v>
                </c:pt>
                <c:pt idx="130">
                  <c:v>1.5765196850029661</c:v>
                </c:pt>
                <c:pt idx="131">
                  <c:v>1.5828067864300188</c:v>
                </c:pt>
                <c:pt idx="132">
                  <c:v>1.5894546426813387</c:v>
                </c:pt>
                <c:pt idx="133">
                  <c:v>1.5965969831859235</c:v>
                </c:pt>
                <c:pt idx="134">
                  <c:v>1.6044664119939251</c:v>
                </c:pt>
                <c:pt idx="135">
                  <c:v>1.6135320082201567</c:v>
                </c:pt>
                <c:pt idx="136">
                  <c:v>1.6250298525627445</c:v>
                </c:pt>
                <c:pt idx="137">
                  <c:v>1.6458108131385232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C79D-4B9D-9E96-AF39BCA45E13}"/>
            </c:ext>
          </c:extLst>
        </c:ser>
        <c:ser>
          <c:idx val="39"/>
          <c:order val="17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BASIC!$AA$3:$AA$230</c:f>
              <c:numCache>
                <c:formatCode>General</c:formatCode>
                <c:ptCount val="228"/>
                <c:pt idx="0">
                  <c:v>1.8069559969774449</c:v>
                </c:pt>
                <c:pt idx="1">
                  <c:v>1.8064890259302731</c:v>
                </c:pt>
                <c:pt idx="2">
                  <c:v>1.8060402493455878</c:v>
                </c:pt>
                <c:pt idx="3">
                  <c:v>1.8056093490803498</c:v>
                </c:pt>
                <c:pt idx="4">
                  <c:v>1.8051960109803664</c:v>
                </c:pt>
                <c:pt idx="5">
                  <c:v>1.8047999247841711</c:v>
                </c:pt>
                <c:pt idx="6">
                  <c:v>1.8044207840280946</c:v>
                </c:pt>
                <c:pt idx="7">
                  <c:v>1.8040582859525034</c:v>
                </c:pt>
                <c:pt idx="8">
                  <c:v>1.8037121314090641</c:v>
                </c:pt>
                <c:pt idx="9">
                  <c:v>1.8033820247690462</c:v>
                </c:pt>
                <c:pt idx="10">
                  <c:v>1.8030676738325524</c:v>
                </c:pt>
                <c:pt idx="11">
                  <c:v>1.8027687897385882</c:v>
                </c:pt>
                <c:pt idx="12">
                  <c:v>1.8024850868759643</c:v>
                </c:pt>
                <c:pt idx="13">
                  <c:v>1.8022162827949164</c:v>
                </c:pt>
                <c:pt idx="14">
                  <c:v>1.8019620981193973</c:v>
                </c:pt>
                <c:pt idx="15">
                  <c:v>1.8017222564599484</c:v>
                </c:pt>
                <c:pt idx="16">
                  <c:v>1.801496484327137</c:v>
                </c:pt>
                <c:pt idx="17">
                  <c:v>1.8012845110454323</c:v>
                </c:pt>
                <c:pt idx="18">
                  <c:v>1.8010860686675036</c:v>
                </c:pt>
                <c:pt idx="19">
                  <c:v>1.8009008918888703</c:v>
                </c:pt>
                <c:pt idx="20">
                  <c:v>1.8007287179628013</c:v>
                </c:pt>
                <c:pt idx="21">
                  <c:v>1.8005692866154885</c:v>
                </c:pt>
                <c:pt idx="22">
                  <c:v>1.8004223399613517</c:v>
                </c:pt>
                <c:pt idx="23">
                  <c:v>1.8002876224184599</c:v>
                </c:pt>
                <c:pt idx="24">
                  <c:v>1.8001648806240054</c:v>
                </c:pt>
                <c:pt idx="25">
                  <c:v>1.8000538633497936</c:v>
                </c:pt>
                <c:pt idx="26">
                  <c:v>1.7999543214176583</c:v>
                </c:pt>
                <c:pt idx="27">
                  <c:v>1.7998660076147777</c:v>
                </c:pt>
                <c:pt idx="28">
                  <c:v>1.7997886766088369</c:v>
                </c:pt>
                <c:pt idx="29">
                  <c:v>1.7997220848629747</c:v>
                </c:pt>
                <c:pt idx="30">
                  <c:v>1.7996659905504677</c:v>
                </c:pt>
                <c:pt idx="31">
                  <c:v>1.7996201534690996</c:v>
                </c:pt>
                <c:pt idx="32">
                  <c:v>1.7995843349551675</c:v>
                </c:pt>
                <c:pt idx="33">
                  <c:v>1.7995582977970654</c:v>
                </c:pt>
                <c:pt idx="34">
                  <c:v>1.7995418061483948</c:v>
                </c:pt>
                <c:pt idx="35">
                  <c:v>1.7995346254405247</c:v>
                </c:pt>
                <c:pt idx="36">
                  <c:v>1.7995365222945843</c:v>
                </c:pt>
                <c:pt idx="37">
                  <c:v>1.7995472644327992</c:v>
                </c:pt>
                <c:pt idx="38">
                  <c:v>1.7995666205890881</c:v>
                </c:pt>
                <c:pt idx="39">
                  <c:v>1.7995943604188875</c:v>
                </c:pt>
                <c:pt idx="40">
                  <c:v>1.799630254408118</c:v>
                </c:pt>
                <c:pt idx="41">
                  <c:v>1.7996740737812091</c:v>
                </c:pt>
                <c:pt idx="42">
                  <c:v>1.7997255904080958</c:v>
                </c:pt>
                <c:pt idx="43">
                  <c:v>1.7997845767101206</c:v>
                </c:pt>
                <c:pt idx="44">
                  <c:v>1.7998508055647062</c:v>
                </c:pt>
                <c:pt idx="45">
                  <c:v>1.7999240502087535</c:v>
                </c:pt>
                <c:pt idx="46">
                  <c:v>1.800004084140588</c:v>
                </c:pt>
                <c:pt idx="47">
                  <c:v>1.8000906810203972</c:v>
                </c:pt>
                <c:pt idx="48">
                  <c:v>1.8001836145689711</c:v>
                </c:pt>
                <c:pt idx="49">
                  <c:v>1.8002826584646967</c:v>
                </c:pt>
                <c:pt idx="50">
                  <c:v>1.800387586238535</c:v>
                </c:pt>
                <c:pt idx="51">
                  <c:v>1.800498171166943</c:v>
                </c:pt>
                <c:pt idx="52">
                  <c:v>1.8006141861624902</c:v>
                </c:pt>
                <c:pt idx="53">
                  <c:v>1.8007354036620364</c:v>
                </c:pt>
                <c:pt idx="54">
                  <c:v>1.8008615955122109</c:v>
                </c:pt>
                <c:pt idx="55">
                  <c:v>1.8009925328520646</c:v>
                </c:pt>
                <c:pt idx="56">
                  <c:v>1.8011279859925959</c:v>
                </c:pt>
                <c:pt idx="57">
                  <c:v>1.8012677242929287</c:v>
                </c:pt>
                <c:pt idx="58">
                  <c:v>1.8014115160329121</c:v>
                </c:pt>
                <c:pt idx="59">
                  <c:v>1.8015591282817842</c:v>
                </c:pt>
                <c:pt idx="60">
                  <c:v>1.8017103267626977</c:v>
                </c:pt>
                <c:pt idx="61">
                  <c:v>1.8018648757126776</c:v>
                </c:pt>
                <c:pt idx="62">
                  <c:v>1.8020225377377324</c:v>
                </c:pt>
                <c:pt idx="63">
                  <c:v>1.8021830736627429</c:v>
                </c:pt>
                <c:pt idx="64">
                  <c:v>1.8023462423756578</c:v>
                </c:pt>
                <c:pt idx="65">
                  <c:v>1.8025118006656378</c:v>
                </c:pt>
                <c:pt idx="66">
                  <c:v>1.8026795030546461</c:v>
                </c:pt>
                <c:pt idx="67">
                  <c:v>1.8028491016219799</c:v>
                </c:pt>
                <c:pt idx="68">
                  <c:v>1.8030203458212108</c:v>
                </c:pt>
                <c:pt idx="69">
                  <c:v>1.8031929822889554</c:v>
                </c:pt>
                <c:pt idx="70">
                  <c:v>1.8033667546448138</c:v>
                </c:pt>
                <c:pt idx="71">
                  <c:v>1.8035414032818364</c:v>
                </c:pt>
                <c:pt idx="72">
                  <c:v>1.8037166651467591</c:v>
                </c:pt>
                <c:pt idx="73">
                  <c:v>1.8038922735092091</c:v>
                </c:pt>
                <c:pt idx="74">
                  <c:v>1.8040679577190188</c:v>
                </c:pt>
                <c:pt idx="75">
                  <c:v>1.8042434429507204</c:v>
                </c:pt>
                <c:pt idx="76">
                  <c:v>1.8044184499341924</c:v>
                </c:pt>
                <c:pt idx="77">
                  <c:v>1.8045926946703488</c:v>
                </c:pt>
                <c:pt idx="78">
                  <c:v>1.804765888130669</c:v>
                </c:pt>
                <c:pt idx="79">
                  <c:v>1.8049377359392469</c:v>
                </c:pt>
                <c:pt idx="80">
                  <c:v>1.8051079380359598</c:v>
                </c:pt>
                <c:pt idx="81">
                  <c:v>1.8052761883190784</c:v>
                </c:pt>
                <c:pt idx="82">
                  <c:v>1.8054421742657771</c:v>
                </c:pt>
                <c:pt idx="83">
                  <c:v>1.8056055765284615</c:v>
                </c:pt>
                <c:pt idx="84">
                  <c:v>1.8057660685049486</c:v>
                </c:pt>
                <c:pt idx="85">
                  <c:v>1.8059233158802741</c:v>
                </c:pt>
                <c:pt idx="86">
                  <c:v>1.8060769761374187</c:v>
                </c:pt>
                <c:pt idx="87">
                  <c:v>1.8062266980344144</c:v>
                </c:pt>
                <c:pt idx="88">
                  <c:v>1.8063721210445647</c:v>
                </c:pt>
                <c:pt idx="89">
                  <c:v>1.8065128747565291</c:v>
                </c:pt>
                <c:pt idx="90">
                  <c:v>1.8066485782304118</c:v>
                </c:pt>
                <c:pt idx="91">
                  <c:v>1.8067788393057238</c:v>
                </c:pt>
                <c:pt idx="92">
                  <c:v>1.8069032538565184</c:v>
                </c:pt>
                <c:pt idx="93">
                  <c:v>1.8070214049885371</c:v>
                </c:pt>
                <c:pt idx="94">
                  <c:v>1.8071328621725555</c:v>
                </c:pt>
                <c:pt idx="95">
                  <c:v>1.8072371803074117</c:v>
                </c:pt>
                <c:pt idx="96">
                  <c:v>1.807333898705425</c:v>
                </c:pt>
                <c:pt idx="97">
                  <c:v>1.8074225399920472</c:v>
                </c:pt>
                <c:pt idx="98">
                  <c:v>1.8075026089104691</c:v>
                </c:pt>
                <c:pt idx="99">
                  <c:v>1.807573591020774</c:v>
                </c:pt>
                <c:pt idx="100">
                  <c:v>1.8076349512818763</c:v>
                </c:pt>
                <c:pt idx="101">
                  <c:v>1.8076861325027975</c:v>
                </c:pt>
                <c:pt idx="102">
                  <c:v>1.8077265536481635</c:v>
                </c:pt>
                <c:pt idx="103">
                  <c:v>1.8077556079805261</c:v>
                </c:pt>
                <c:pt idx="104">
                  <c:v>1.8077726610197176</c:v>
                </c:pt>
                <c:pt idx="105">
                  <c:v>1.8077770482965787</c:v>
                </c:pt>
                <c:pt idx="106">
                  <c:v>1.8077680728749632</c:v>
                </c:pt>
                <c:pt idx="107">
                  <c:v>1.807745002611947</c:v>
                </c:pt>
                <c:pt idx="108">
                  <c:v>1.8077070671216</c:v>
                </c:pt>
                <c:pt idx="109">
                  <c:v>1.8076534544019351</c:v>
                </c:pt>
                <c:pt idx="110">
                  <c:v>1.8075833070782956</c:v>
                </c:pt>
                <c:pt idx="111">
                  <c:v>1.807495718208417</c:v>
                </c:pt>
                <c:pt idx="112">
                  <c:v>1.8073897265851018</c:v>
                </c:pt>
                <c:pt idx="113">
                  <c:v>1.8072643114611315</c:v>
                </c:pt>
                <c:pt idx="114">
                  <c:v>1.8071183866074036</c:v>
                </c:pt>
                <c:pt idx="115">
                  <c:v>1.8069507935987592</c:v>
                </c:pt>
                <c:pt idx="116">
                  <c:v>1.806760294201736</c:v>
                </c:pt>
                <c:pt idx="117">
                  <c:v>1.8065455617138655</c:v>
                </c:pt>
                <c:pt idx="118">
                  <c:v>1.806305171073479</c:v>
                </c:pt>
                <c:pt idx="119">
                  <c:v>1.8060375875214245</c:v>
                </c:pt>
                <c:pt idx="120">
                  <c:v>1.8057411535486874</c:v>
                </c:pt>
                <c:pt idx="121">
                  <c:v>1.8054140738049071</c:v>
                </c:pt>
                <c:pt idx="122">
                  <c:v>1.8050543975677598</c:v>
                </c:pt>
                <c:pt idx="123">
                  <c:v>1.8046599982777947</c:v>
                </c:pt>
                <c:pt idx="124">
                  <c:v>1.8042285495207473</c:v>
                </c:pt>
                <c:pt idx="125">
                  <c:v>1.8037574966805436</c:v>
                </c:pt>
                <c:pt idx="126">
                  <c:v>1.8032440232788038</c:v>
                </c:pt>
                <c:pt idx="127">
                  <c:v>1.8026850107424714</c:v>
                </c:pt>
                <c:pt idx="128">
                  <c:v>1.8020769899760121</c:v>
                </c:pt>
                <c:pt idx="129">
                  <c:v>1.8014160826210939</c:v>
                </c:pt>
                <c:pt idx="130">
                  <c:v>1.8006979292132947</c:v>
                </c:pt>
                <c:pt idx="131">
                  <c:v>1.7999176005121906</c:v>
                </c:pt>
                <c:pt idx="132">
                  <c:v>1.7990694869707493</c:v>
                </c:pt>
                <c:pt idx="133">
                  <c:v>1.7981471594382912</c:v>
                </c:pt>
                <c:pt idx="134">
                  <c:v>1.7971431914719771</c:v>
                </c:pt>
                <c:pt idx="135">
                  <c:v>1.7960489296012967</c:v>
                </c:pt>
                <c:pt idx="136">
                  <c:v>1.7948541917869199</c:v>
                </c:pt>
                <c:pt idx="137">
                  <c:v>1.7935468648435384</c:v>
                </c:pt>
                <c:pt idx="138">
                  <c:v>1.7921123564911663</c:v>
                </c:pt>
                <c:pt idx="139">
                  <c:v>1.7905328328451047</c:v>
                </c:pt>
                <c:pt idx="140">
                  <c:v>1.7887861297734637</c:v>
                </c:pt>
                <c:pt idx="141">
                  <c:v>1.7868441512255133</c:v>
                </c:pt>
                <c:pt idx="142">
                  <c:v>1.784670427080487</c:v>
                </c:pt>
                <c:pt idx="143">
                  <c:v>1.7822162251205813</c:v>
                </c:pt>
                <c:pt idx="144">
                  <c:v>1.7794140218670615</c:v>
                </c:pt>
                <c:pt idx="145">
                  <c:v>1.7761657698892368</c:v>
                </c:pt>
                <c:pt idx="146">
                  <c:v>1.7723198494418408</c:v>
                </c:pt>
                <c:pt idx="147">
                  <c:v>1.7676198460724475</c:v>
                </c:pt>
                <c:pt idx="148">
                  <c:v>1.7615676271111027</c:v>
                </c:pt>
                <c:pt idx="149">
                  <c:v>1.7529199578819783</c:v>
                </c:pt>
                <c:pt idx="150">
                  <c:v>1.7354342175429409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E-C79D-4B9D-9E96-AF39BCA45E13}"/>
            </c:ext>
          </c:extLst>
        </c:ser>
        <c:ser>
          <c:idx val="40"/>
          <c:order val="18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BASIC!$Z$3:$Z$230</c:f>
              <c:numCache>
                <c:formatCode>General</c:formatCode>
                <c:ptCount val="228"/>
                <c:pt idx="0">
                  <c:v>0.99933750805296717</c:v>
                </c:pt>
                <c:pt idx="1">
                  <c:v>1.0037510542113219</c:v>
                </c:pt>
                <c:pt idx="2">
                  <c:v>1.0081574469674501</c:v>
                </c:pt>
                <c:pt idx="3">
                  <c:v>1.0125567870077967</c:v>
                </c:pt>
                <c:pt idx="4">
                  <c:v>1.0169491737748657</c:v>
                </c:pt>
                <c:pt idx="5">
                  <c:v>1.0213347055045445</c:v>
                </c:pt>
                <c:pt idx="6">
                  <c:v>1.0257134792633278</c:v>
                </c:pt>
                <c:pt idx="7">
                  <c:v>1.0300855909854609</c:v>
                </c:pt>
                <c:pt idx="8">
                  <c:v>1.0344511355099792</c:v>
                </c:pt>
                <c:pt idx="9">
                  <c:v>1.0388102066177529</c:v>
                </c:pt>
                <c:pt idx="10">
                  <c:v>1.0431628970684736</c:v>
                </c:pt>
                <c:pt idx="11">
                  <c:v>1.0475092986376662</c:v>
                </c:pt>
                <c:pt idx="12">
                  <c:v>1.0518495021537271</c:v>
                </c:pt>
                <c:pt idx="13">
                  <c:v>1.05618359753503</c:v>
                </c:pt>
                <c:pt idx="14">
                  <c:v>1.0605116738271241</c:v>
                </c:pt>
                <c:pt idx="15">
                  <c:v>1.064833819240022</c:v>
                </c:pt>
                <c:pt idx="16">
                  <c:v>1.0691501211856773</c:v>
                </c:pt>
                <c:pt idx="17">
                  <c:v>1.0734606663155966</c:v>
                </c:pt>
                <c:pt idx="18">
                  <c:v>1.0777655405586797</c:v>
                </c:pt>
                <c:pt idx="19">
                  <c:v>1.0820648291592987</c:v>
                </c:pt>
                <c:pt idx="20">
                  <c:v>1.0863586167156289</c:v>
                </c:pt>
                <c:pt idx="21">
                  <c:v>1.0906469872183091</c:v>
                </c:pt>
                <c:pt idx="22">
                  <c:v>1.0949300240894224</c:v>
                </c:pt>
                <c:pt idx="23">
                  <c:v>1.0992078102218528</c:v>
                </c:pt>
                <c:pt idx="24">
                  <c:v>1.1034804280190529</c:v>
                </c:pt>
                <c:pt idx="25">
                  <c:v>1.1077479594352693</c:v>
                </c:pt>
                <c:pt idx="26">
                  <c:v>1.1120104860162356</c:v>
                </c:pt>
                <c:pt idx="27">
                  <c:v>1.1162680889404064</c:v>
                </c:pt>
                <c:pt idx="28">
                  <c:v>1.1205208490607623</c:v>
                </c:pt>
                <c:pt idx="29">
                  <c:v>1.1247688469472064</c:v>
                </c:pt>
                <c:pt idx="30">
                  <c:v>1.1290121629296466</c:v>
                </c:pt>
                <c:pt idx="31">
                  <c:v>1.133250877141752</c:v>
                </c:pt>
                <c:pt idx="32">
                  <c:v>1.1374850695654841</c:v>
                </c:pt>
                <c:pt idx="33">
                  <c:v>1.1417148200764151</c:v>
                </c:pt>
                <c:pt idx="34">
                  <c:v>1.1459402084899097</c:v>
                </c:pt>
                <c:pt idx="35">
                  <c:v>1.1501613146081937</c:v>
                </c:pt>
                <c:pt idx="36">
                  <c:v>1.154378218268423</c:v>
                </c:pt>
                <c:pt idx="37">
                  <c:v>1.1585909993917445</c:v>
                </c:pt>
                <c:pt idx="38">
                  <c:v>1.1627997380334603</c:v>
                </c:pt>
                <c:pt idx="39">
                  <c:v>1.1670045144343353</c:v>
                </c:pt>
                <c:pt idx="40">
                  <c:v>1.1712054090731281</c:v>
                </c:pt>
                <c:pt idx="41">
                  <c:v>1.1754025027204051</c:v>
                </c:pt>
                <c:pt idx="42">
                  <c:v>1.17959587649373</c:v>
                </c:pt>
                <c:pt idx="43">
                  <c:v>1.1837856119142895</c:v>
                </c:pt>
                <c:pt idx="44">
                  <c:v>1.187971790965038</c:v>
                </c:pt>
                <c:pt idx="45">
                  <c:v>1.19215449615047</c:v>
                </c:pt>
                <c:pt idx="46">
                  <c:v>1.1963338105580916</c:v>
                </c:pt>
                <c:pt idx="47">
                  <c:v>1.2005098179216789</c:v>
                </c:pt>
                <c:pt idx="48">
                  <c:v>1.2046826026864579</c:v>
                </c:pt>
                <c:pt idx="49">
                  <c:v>1.2088522500762893</c:v>
                </c:pt>
                <c:pt idx="50">
                  <c:v>1.2130188461629825</c:v>
                </c:pt>
                <c:pt idx="51">
                  <c:v>1.217182477937832</c:v>
                </c:pt>
                <c:pt idx="52">
                  <c:v>1.221343233385572</c:v>
                </c:pt>
                <c:pt idx="53">
                  <c:v>1.2255012015607956</c:v>
                </c:pt>
                <c:pt idx="54">
                  <c:v>1.2296564726670625</c:v>
                </c:pt>
                <c:pt idx="55">
                  <c:v>1.2338091381388054</c:v>
                </c:pt>
                <c:pt idx="56">
                  <c:v>1.2379592907261943</c:v>
                </c:pt>
                <c:pt idx="57">
                  <c:v>1.242107024583182</c:v>
                </c:pt>
                <c:pt idx="58">
                  <c:v>1.2462524353588489</c:v>
                </c:pt>
                <c:pt idx="59">
                  <c:v>1.2503956202922966</c:v>
                </c:pt>
                <c:pt idx="60">
                  <c:v>1.2545366783112912</c:v>
                </c:pt>
                <c:pt idx="61">
                  <c:v>1.2586757101348618</c:v>
                </c:pt>
                <c:pt idx="62">
                  <c:v>1.2628128183801235</c:v>
                </c:pt>
                <c:pt idx="63">
                  <c:v>1.2669481076735805</c:v>
                </c:pt>
                <c:pt idx="64">
                  <c:v>1.271081684767166</c:v>
                </c:pt>
                <c:pt idx="65">
                  <c:v>1.2752136586593468</c:v>
                </c:pt>
                <c:pt idx="66">
                  <c:v>1.2793441407216029</c:v>
                </c:pt>
                <c:pt idx="67">
                  <c:v>1.2834732448306192</c:v>
                </c:pt>
                <c:pt idx="68">
                  <c:v>1.2876010875065846</c:v>
                </c:pt>
                <c:pt idx="69">
                  <c:v>1.2917277880579654</c:v>
                </c:pt>
                <c:pt idx="70">
                  <c:v>1.2958534687332248</c:v>
                </c:pt>
                <c:pt idx="71">
                  <c:v>1.2999782548799286</c:v>
                </c:pt>
                <c:pt idx="72">
                  <c:v>1.3041022751117388</c:v>
                </c:pt>
                <c:pt idx="73">
                  <c:v>1.3082256614838801</c:v>
                </c:pt>
                <c:pt idx="74">
                  <c:v>1.3123485496776166</c:v>
                </c:pt>
                <c:pt idx="75">
                  <c:v>1.3164710791944119</c:v>
                </c:pt>
                <c:pt idx="76">
                  <c:v>1.3205933935604801</c:v>
                </c:pt>
                <c:pt idx="77">
                  <c:v>1.3247156405424407</c:v>
                </c:pt>
                <c:pt idx="78">
                  <c:v>1.3288379723749539</c:v>
                </c:pt>
                <c:pt idx="79">
                  <c:v>1.3329605460011649</c:v>
                </c:pt>
                <c:pt idx="80">
                  <c:v>1.3370835233270275</c:v>
                </c:pt>
                <c:pt idx="81">
                  <c:v>1.3412070714904625</c:v>
                </c:pt>
                <c:pt idx="82">
                  <c:v>1.3453313631466228</c:v>
                </c:pt>
                <c:pt idx="83">
                  <c:v>1.3494565767704481</c:v>
                </c:pt>
                <c:pt idx="84">
                  <c:v>1.3535828969779824</c:v>
                </c:pt>
                <c:pt idx="85">
                  <c:v>1.3577105148679747</c:v>
                </c:pt>
                <c:pt idx="86">
                  <c:v>1.3618396283853733</c:v>
                </c:pt>
                <c:pt idx="87">
                  <c:v>1.3659704427087216</c:v>
                </c:pt>
                <c:pt idx="88">
                  <c:v>1.3701031706633617</c:v>
                </c:pt>
                <c:pt idx="89">
                  <c:v>1.3742380331628019</c:v>
                </c:pt>
                <c:pt idx="90">
                  <c:v>1.3783752596807095</c:v>
                </c:pt>
                <c:pt idx="91">
                  <c:v>1.3825150887563475</c:v>
                </c:pt>
                <c:pt idx="92">
                  <c:v>1.3866577685364865</c:v>
                </c:pt>
                <c:pt idx="93">
                  <c:v>1.3908035573572846</c:v>
                </c:pt>
                <c:pt idx="94">
                  <c:v>1.3949527243699085</c:v>
                </c:pt>
                <c:pt idx="95">
                  <c:v>1.3991055502142247</c:v>
                </c:pt>
                <c:pt idx="96">
                  <c:v>1.4032623277452734</c:v>
                </c:pt>
                <c:pt idx="97">
                  <c:v>1.4074233628179644</c:v>
                </c:pt>
                <c:pt idx="98">
                  <c:v>1.41158897513598</c:v>
                </c:pt>
                <c:pt idx="99">
                  <c:v>1.4157594991716778</c:v>
                </c:pt>
                <c:pt idx="100">
                  <c:v>1.4199352851647091</c:v>
                </c:pt>
                <c:pt idx="101">
                  <c:v>1.4241167002079844</c:v>
                </c:pt>
                <c:pt idx="102">
                  <c:v>1.4283041294308989</c:v>
                </c:pt>
                <c:pt idx="103">
                  <c:v>1.4324979772910107</c:v>
                </c:pt>
                <c:pt idx="104">
                  <c:v>1.4366986689869985</c:v>
                </c:pt>
                <c:pt idx="105">
                  <c:v>1.4409066520075446</c:v>
                </c:pt>
                <c:pt idx="106">
                  <c:v>1.4451223978330272</c:v>
                </c:pt>
                <c:pt idx="107">
                  <c:v>1.4493464038093096</c:v>
                </c:pt>
                <c:pt idx="108">
                  <c:v>1.4535791952161474</c:v>
                </c:pt>
                <c:pt idx="109">
                  <c:v>1.4578213275560674</c:v>
                </c:pt>
                <c:pt idx="110">
                  <c:v>1.4620733890939968</c:v>
                </c:pt>
                <c:pt idx="111">
                  <c:v>1.4663360036828681</c:v>
                </c:pt>
                <c:pt idx="112">
                  <c:v>1.4706098339165528</c:v>
                </c:pt>
                <c:pt idx="113">
                  <c:v>1.4748955846587462</c:v>
                </c:pt>
                <c:pt idx="114">
                  <c:v>1.479194007005306</c:v>
                </c:pt>
                <c:pt idx="115">
                  <c:v>1.4835059027482476</c:v>
                </c:pt>
                <c:pt idx="116">
                  <c:v>1.4878321294227363</c:v>
                </c:pt>
                <c:pt idx="117">
                  <c:v>1.4921736060345696</c:v>
                </c:pt>
                <c:pt idx="118">
                  <c:v>1.4965313195854666</c:v>
                </c:pt>
                <c:pt idx="119">
                  <c:v>1.5009063325383531</c:v>
                </c:pt>
                <c:pt idx="120">
                  <c:v>1.5052997913955839</c:v>
                </c:pt>
                <c:pt idx="121">
                  <c:v>1.5097129366021198</c:v>
                </c:pt>
                <c:pt idx="122">
                  <c:v>1.5141471140349412</c:v>
                </c:pt>
                <c:pt idx="123">
                  <c:v>1.5186037884029813</c:v>
                </c:pt>
                <c:pt idx="124">
                  <c:v>1.5230845589629871</c:v>
                </c:pt>
                <c:pt idx="125">
                  <c:v>1.5275911780620195</c:v>
                </c:pt>
                <c:pt idx="126">
                  <c:v>1.5321255731552805</c:v>
                </c:pt>
                <c:pt idx="127">
                  <c:v>1.5366898731305469</c:v>
                </c:pt>
                <c:pt idx="128">
                  <c:v>1.54128644001469</c:v>
                </c:pt>
                <c:pt idx="129">
                  <c:v>1.545917907468076</c:v>
                </c:pt>
                <c:pt idx="130">
                  <c:v>1.5505872279251893</c:v>
                </c:pt>
                <c:pt idx="131">
                  <c:v>1.5552977308679445</c:v>
                </c:pt>
                <c:pt idx="132">
                  <c:v>1.5600531956033794</c:v>
                </c:pt>
                <c:pt idx="133">
                  <c:v>1.5648579431849183</c:v>
                </c:pt>
                <c:pt idx="134">
                  <c:v>1.5697169539640918</c:v>
                </c:pt>
                <c:pt idx="135">
                  <c:v>1.5746360200067189</c:v>
                </c:pt>
                <c:pt idx="136">
                  <c:v>1.5796219457823408</c:v>
                </c:pt>
                <c:pt idx="137">
                  <c:v>1.5846828170379108</c:v>
                </c:pt>
                <c:pt idx="138">
                  <c:v>1.5898283681782956</c:v>
                </c:pt>
                <c:pt idx="139">
                  <c:v>1.595070495679884</c:v>
                </c:pt>
                <c:pt idx="140">
                  <c:v>1.6004239945354957</c:v>
                </c:pt>
                <c:pt idx="141">
                  <c:v>1.605907647374393</c:v>
                </c:pt>
                <c:pt idx="142">
                  <c:v>1.611545894680219</c:v>
                </c:pt>
                <c:pt idx="143">
                  <c:v>1.6173715110634725</c:v>
                </c:pt>
                <c:pt idx="144">
                  <c:v>1.6234301325014291</c:v>
                </c:pt>
                <c:pt idx="145">
                  <c:v>1.6297884603721666</c:v>
                </c:pt>
                <c:pt idx="146">
                  <c:v>1.6365505380110905</c:v>
                </c:pt>
                <c:pt idx="147">
                  <c:v>1.6438943589045163</c:v>
                </c:pt>
                <c:pt idx="148">
                  <c:v>1.6521712238741983</c:v>
                </c:pt>
                <c:pt idx="149">
                  <c:v>1.6622788867183871</c:v>
                </c:pt>
                <c:pt idx="150">
                  <c:v>1.6789542324713218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C79D-4B9D-9E96-AF39BCA45E13}"/>
            </c:ext>
          </c:extLst>
        </c:ser>
        <c:ser>
          <c:idx val="41"/>
          <c:order val="19"/>
          <c:marker>
            <c:symbol val="none"/>
          </c:marker>
          <c:xVal>
            <c:numRef>
              <c:f>BASIC!$AC$3:$AC$230</c:f>
              <c:numCache>
                <c:formatCode>General</c:formatCode>
                <c:ptCount val="228"/>
                <c:pt idx="0">
                  <c:v>0.99935803970376491</c:v>
                </c:pt>
                <c:pt idx="1">
                  <c:v>1.003634309600933</c:v>
                </c:pt>
                <c:pt idx="2">
                  <c:v>1.0079024566796952</c:v>
                </c:pt>
                <c:pt idx="3">
                  <c:v>1.012162531181805</c:v>
                </c:pt>
                <c:pt idx="4">
                  <c:v>1.0164145831123341</c:v>
                </c:pt>
                <c:pt idx="5">
                  <c:v>1.0206586622503102</c:v>
                </c:pt>
                <c:pt idx="6">
                  <c:v>1.0248948181594164</c:v>
                </c:pt>
                <c:pt idx="7">
                  <c:v>1.0291231001987537</c:v>
                </c:pt>
                <c:pt idx="8">
                  <c:v>1.0333435575336629</c:v>
                </c:pt>
                <c:pt idx="9">
                  <c:v>1.0375562391465998</c:v>
                </c:pt>
                <c:pt idx="10">
                  <c:v>1.0417611938480669</c:v>
                </c:pt>
                <c:pt idx="11">
                  <c:v>1.0459584702875893</c:v>
                </c:pt>
                <c:pt idx="12">
                  <c:v>1.0501481169647493</c:v>
                </c:pt>
                <c:pt idx="13">
                  <c:v>1.0543301822402567</c:v>
                </c:pt>
                <c:pt idx="14">
                  <c:v>1.0585047143470869</c:v>
                </c:pt>
                <c:pt idx="15">
                  <c:v>1.0626717614016541</c:v>
                </c:pt>
                <c:pt idx="16">
                  <c:v>1.0668313714150417</c:v>
                </c:pt>
                <c:pt idx="17">
                  <c:v>1.0709835923042763</c:v>
                </c:pt>
                <c:pt idx="18">
                  <c:v>1.0751284719036769</c:v>
                </c:pt>
                <c:pt idx="19">
                  <c:v>1.0792660579762345</c:v>
                </c:pt>
                <c:pt idx="20">
                  <c:v>1.0833963982250718</c:v>
                </c:pt>
                <c:pt idx="21">
                  <c:v>1.0875195403049669</c:v>
                </c:pt>
                <c:pt idx="22">
                  <c:v>1.091635531833925</c:v>
                </c:pt>
                <c:pt idx="23">
                  <c:v>1.0957444204048543</c:v>
                </c:pt>
                <c:pt idx="24">
                  <c:v>1.0998462535972939</c:v>
                </c:pt>
                <c:pt idx="25">
                  <c:v>1.103941078989245</c:v>
                </c:pt>
                <c:pt idx="26">
                  <c:v>1.1080289441690816</c:v>
                </c:pt>
                <c:pt idx="27">
                  <c:v>1.1121098967475684</c:v>
                </c:pt>
                <c:pt idx="28">
                  <c:v>1.1161839843699781</c:v>
                </c:pt>
                <c:pt idx="29">
                  <c:v>1.1202512547283197</c:v>
                </c:pt>
                <c:pt idx="30">
                  <c:v>1.1243117555737123</c:v>
                </c:pt>
                <c:pt idx="31">
                  <c:v>1.1283655347288497</c:v>
                </c:pt>
                <c:pt idx="32">
                  <c:v>1.1324126401006489</c:v>
                </c:pt>
                <c:pt idx="33">
                  <c:v>1.1364531196930312</c:v>
                </c:pt>
                <c:pt idx="34">
                  <c:v>1.1404870216198562</c:v>
                </c:pt>
                <c:pt idx="35">
                  <c:v>1.14451439411806</c:v>
                </c:pt>
                <c:pt idx="36">
                  <c:v>1.1485352855609503</c:v>
                </c:pt>
                <c:pt idx="37">
                  <c:v>1.1525497444717301</c:v>
                </c:pt>
                <c:pt idx="38">
                  <c:v>1.1565578195372082</c:v>
                </c:pt>
                <c:pt idx="39">
                  <c:v>1.1605595596217664</c:v>
                </c:pt>
                <c:pt idx="40">
                  <c:v>1.1645550137815506</c:v>
                </c:pt>
                <c:pt idx="41">
                  <c:v>1.1685442312789298</c:v>
                </c:pt>
                <c:pt idx="42">
                  <c:v>1.1725272615972393</c:v>
                </c:pt>
                <c:pt idx="43">
                  <c:v>1.1765041544558079</c:v>
                </c:pt>
                <c:pt idx="44">
                  <c:v>1.1804749598253088</c:v>
                </c:pt>
                <c:pt idx="45">
                  <c:v>1.184439727943438</c:v>
                </c:pt>
                <c:pt idx="46">
                  <c:v>1.1883985093309544</c:v>
                </c:pt>
                <c:pt idx="47">
                  <c:v>1.1923513548080913</c:v>
                </c:pt>
                <c:pt idx="48">
                  <c:v>1.1962983155113749</c:v>
                </c:pt>
                <c:pt idx="49">
                  <c:v>1.2002394429108567</c:v>
                </c:pt>
                <c:pt idx="50">
                  <c:v>1.2041747888278056</c:v>
                </c:pt>
                <c:pt idx="51">
                  <c:v>1.2081044054528813</c:v>
                </c:pt>
                <c:pt idx="52">
                  <c:v>1.2120283453647906</c:v>
                </c:pt>
                <c:pt idx="53">
                  <c:v>1.2159466615495076</c:v>
                </c:pt>
                <c:pt idx="54">
                  <c:v>1.2198594074200462</c:v>
                </c:pt>
                <c:pt idx="55">
                  <c:v>1.223766636836829</c:v>
                </c:pt>
                <c:pt idx="56">
                  <c:v>1.2276684041287045</c:v>
                </c:pt>
                <c:pt idx="57">
                  <c:v>1.2315647641146279</c:v>
                </c:pt>
                <c:pt idx="58">
                  <c:v>1.2354557721260584</c:v>
                </c:pt>
                <c:pt idx="59">
                  <c:v>1.2393414840301045</c:v>
                </c:pt>
                <c:pt idx="60">
                  <c:v>1.2432219562534781</c:v>
                </c:pt>
                <c:pt idx="61">
                  <c:v>1.2470972458072753</c:v>
                </c:pt>
                <c:pt idx="62">
                  <c:v>1.250967410312676</c:v>
                </c:pt>
                <c:pt idx="63">
                  <c:v>1.2548325080275606</c:v>
                </c:pt>
                <c:pt idx="64">
                  <c:v>1.2586925978741412</c:v>
                </c:pt>
                <c:pt idx="65">
                  <c:v>1.2625477394676612</c:v>
                </c:pt>
                <c:pt idx="66">
                  <c:v>1.2663979931461946</c:v>
                </c:pt>
                <c:pt idx="67">
                  <c:v>1.2702434200016584</c:v>
                </c:pt>
                <c:pt idx="68">
                  <c:v>1.2740840819120558</c:v>
                </c:pt>
                <c:pt idx="69">
                  <c:v>1.2779200415750789</c:v>
                </c:pt>
                <c:pt idx="70">
                  <c:v>1.2817513625430992</c:v>
                </c:pt>
                <c:pt idx="71">
                  <c:v>1.285578109259677</c:v>
                </c:pt>
                <c:pt idx="72">
                  <c:v>1.2894003470976378</c:v>
                </c:pt>
                <c:pt idx="73">
                  <c:v>1.2932181423988507</c:v>
                </c:pt>
                <c:pt idx="74">
                  <c:v>1.2970315625157733</c:v>
                </c:pt>
                <c:pt idx="75">
                  <c:v>1.300840675854914</c:v>
                </c:pt>
                <c:pt idx="76">
                  <c:v>1.304645551922283</c:v>
                </c:pt>
                <c:pt idx="77">
                  <c:v>1.308446261370998</c:v>
                </c:pt>
                <c:pt idx="78">
                  <c:v>1.3122428760511569</c:v>
                </c:pt>
                <c:pt idx="79">
                  <c:v>1.3160354690621254</c:v>
                </c:pt>
                <c:pt idx="80">
                  <c:v>1.3198241148073862</c:v>
                </c:pt>
                <c:pt idx="81">
                  <c:v>1.323608889052136</c:v>
                </c:pt>
                <c:pt idx="82">
                  <c:v>1.3273898689837746</c:v>
                </c:pt>
                <c:pt idx="83">
                  <c:v>1.3311671332755115</c:v>
                </c:pt>
                <c:pt idx="84">
                  <c:v>1.3349407621532627</c:v>
                </c:pt>
                <c:pt idx="85">
                  <c:v>1.3387108374660814</c:v>
                </c:pt>
                <c:pt idx="86">
                  <c:v>1.3424774427603379</c:v>
                </c:pt>
                <c:pt idx="87">
                  <c:v>1.3462406633579247</c:v>
                </c:pt>
                <c:pt idx="88">
                  <c:v>1.3500005864387461</c:v>
                </c:pt>
                <c:pt idx="89">
                  <c:v>1.3537573011277915</c:v>
                </c:pt>
                <c:pt idx="90">
                  <c:v>1.357510898587114</c:v>
                </c:pt>
                <c:pt idx="91">
                  <c:v>1.3612614721130731</c:v>
                </c:pt>
                <c:pt idx="92">
                  <c:v>1.3650091172391834</c:v>
                </c:pt>
                <c:pt idx="93">
                  <c:v>1.3687539318450195</c:v>
                </c:pt>
                <c:pt idx="94">
                  <c:v>1.3724960162715747</c:v>
                </c:pt>
                <c:pt idx="95">
                  <c:v>1.3762354734435911</c:v>
                </c:pt>
                <c:pt idx="96">
                  <c:v>1.3799724089993353</c:v>
                </c:pt>
                <c:pt idx="97">
                  <c:v>1.383706931428442</c:v>
                </c:pt>
                <c:pt idx="98">
                  <c:v>1.3874391522183847</c:v>
                </c:pt>
                <c:pt idx="99">
                  <c:v>1.3911691860102773</c:v>
                </c:pt>
                <c:pt idx="100">
                  <c:v>1.3948971507647372</c:v>
                </c:pt>
                <c:pt idx="101">
                  <c:v>1.3986231679385943</c:v>
                </c:pt>
                <c:pt idx="102">
                  <c:v>1.4023473626733418</c:v>
                </c:pt>
                <c:pt idx="103">
                  <c:v>1.4060698639962688</c:v>
                </c:pt>
                <c:pt idx="104">
                  <c:v>1.4097908050353423</c:v>
                </c:pt>
                <c:pt idx="105">
                  <c:v>1.4135103232489861</c:v>
                </c:pt>
                <c:pt idx="106">
                  <c:v>1.4172285606720205</c:v>
                </c:pt>
                <c:pt idx="107">
                  <c:v>1.4209456641791949</c:v>
                </c:pt>
                <c:pt idx="108">
                  <c:v>1.4246617857678057</c:v>
                </c:pt>
                <c:pt idx="109">
                  <c:v>1.4283770828611528</c:v>
                </c:pt>
                <c:pt idx="110">
                  <c:v>1.4320917186346871</c:v>
                </c:pt>
                <c:pt idx="111">
                  <c:v>1.4358058623669638</c:v>
                </c:pt>
                <c:pt idx="112">
                  <c:v>1.4395196898177047</c:v>
                </c:pt>
                <c:pt idx="113">
                  <c:v>1.4432333836355549</c:v>
                </c:pt>
                <c:pt idx="114">
                  <c:v>1.4469471337983972</c:v>
                </c:pt>
                <c:pt idx="115">
                  <c:v>1.4506611380894474</c:v>
                </c:pt>
                <c:pt idx="116">
                  <c:v>1.4543756026126813</c:v>
                </c:pt>
                <c:pt idx="117">
                  <c:v>1.4580907423516329</c:v>
                </c:pt>
                <c:pt idx="118">
                  <c:v>1.4618067817760394</c:v>
                </c:pt>
                <c:pt idx="119">
                  <c:v>1.4655239555013913</c:v>
                </c:pt>
                <c:pt idx="120">
                  <c:v>1.4692425090071144</c:v>
                </c:pt>
                <c:pt idx="121">
                  <c:v>1.4729626994197738</c:v>
                </c:pt>
                <c:pt idx="122">
                  <c:v>1.4766847963686194</c:v>
                </c:pt>
                <c:pt idx="123">
                  <c:v>1.4804090829217174</c:v>
                </c:pt>
                <c:pt idx="124">
                  <c:v>1.4841358566120648</c:v>
                </c:pt>
                <c:pt idx="125">
                  <c:v>1.4878654305644126</c:v>
                </c:pt>
                <c:pt idx="126">
                  <c:v>1.4915981347350176</c:v>
                </c:pt>
                <c:pt idx="127">
                  <c:v>1.4953343172783948</c:v>
                </c:pt>
                <c:pt idx="128">
                  <c:v>1.4990743460571705</c:v>
                </c:pt>
                <c:pt idx="129">
                  <c:v>1.5028186103136842</c:v>
                </c:pt>
                <c:pt idx="130">
                  <c:v>1.5065675225248136</c:v>
                </c:pt>
                <c:pt idx="131">
                  <c:v>1.5103215204650124</c:v>
                </c:pt>
                <c:pt idx="132">
                  <c:v>1.5140810695066438</c:v>
                </c:pt>
                <c:pt idx="133">
                  <c:v>1.5178466651915743</c:v>
                </c:pt>
                <c:pt idx="134">
                  <c:v>1.5216188361139122</c:v>
                </c:pt>
                <c:pt idx="135">
                  <c:v>1.525398147160913</c:v>
                </c:pt>
                <c:pt idx="136">
                  <c:v>1.5291852031677151</c:v>
                </c:pt>
                <c:pt idx="137">
                  <c:v>1.5329806530521792</c:v>
                </c:pt>
                <c:pt idx="138">
                  <c:v>1.5367851945091275</c:v>
                </c:pt>
                <c:pt idx="139">
                  <c:v>1.5405995793593323</c:v>
                </c:pt>
                <c:pt idx="140">
                  <c:v>1.5444246196686093</c:v>
                </c:pt>
                <c:pt idx="141">
                  <c:v>1.5482611947772817</c:v>
                </c:pt>
                <c:pt idx="142">
                  <c:v>1.5521102594114455</c:v>
                </c:pt>
                <c:pt idx="143">
                  <c:v>1.555972853086858</c:v>
                </c:pt>
                <c:pt idx="144">
                  <c:v>1.5598501110660001</c:v>
                </c:pt>
                <c:pt idx="145">
                  <c:v>1.5637432771924593</c:v>
                </c:pt>
                <c:pt idx="146">
                  <c:v>1.5676537190084114</c:v>
                </c:pt>
                <c:pt idx="147">
                  <c:v>1.5715829456671957</c:v>
                </c:pt>
                <c:pt idx="148">
                  <c:v>1.575532629292135</c:v>
                </c:pt>
                <c:pt idx="149">
                  <c:v>1.579504630617945</c:v>
                </c:pt>
                <c:pt idx="150">
                  <c:v>1.5835010299999832</c:v>
                </c:pt>
                <c:pt idx="151">
                  <c:v>1.5875241652160323</c:v>
                </c:pt>
                <c:pt idx="152">
                  <c:v>1.5915766779545315</c:v>
                </c:pt>
                <c:pt idx="153">
                  <c:v>1.5956615715409623</c:v>
                </c:pt>
                <c:pt idx="154">
                  <c:v>1.5997822833910109</c:v>
                </c:pt>
                <c:pt idx="155">
                  <c:v>1.6039427770355046</c:v>
                </c:pt>
                <c:pt idx="156">
                  <c:v>1.6081476605630849</c:v>
                </c:pt>
                <c:pt idx="157">
                  <c:v>1.6124023413396698</c:v>
                </c:pt>
                <c:pt idx="158">
                  <c:v>1.6167132315086081</c:v>
                </c:pt>
                <c:pt idx="159">
                  <c:v>1.6210880261277258</c:v>
                </c:pt>
                <c:pt idx="160">
                  <c:v>1.6255360877937426</c:v>
                </c:pt>
                <c:pt idx="161">
                  <c:v>1.6300689918605507</c:v>
                </c:pt>
                <c:pt idx="162">
                  <c:v>1.6347013219625997</c:v>
                </c:pt>
                <c:pt idx="163">
                  <c:v>1.6394518711417101</c:v>
                </c:pt>
                <c:pt idx="164">
                  <c:v>1.6443455316109243</c:v>
                </c:pt>
                <c:pt idx="165">
                  <c:v>1.6494164223248018</c:v>
                </c:pt>
                <c:pt idx="166">
                  <c:v>1.6547134063990732</c:v>
                </c:pt>
                <c:pt idx="167">
                  <c:v>1.6603106703928903</c:v>
                </c:pt>
                <c:pt idx="168">
                  <c:v>1.6663304587244183</c:v>
                </c:pt>
                <c:pt idx="169">
                  <c:v>1.6730008270467296</c:v>
                </c:pt>
                <c:pt idx="170">
                  <c:v>1.6808492619592188</c:v>
                </c:pt>
                <c:pt idx="171">
                  <c:v>1.6919079364094032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BASIC!$AE$3:$AE$230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0-C79D-4B9D-9E96-AF39BCA45E13}"/>
            </c:ext>
          </c:extLst>
        </c:ser>
        <c:ser>
          <c:idx val="42"/>
          <c:order val="20"/>
          <c:marker>
            <c:symbol val="none"/>
          </c:marker>
          <c:xVal>
            <c:numRef>
              <c:f>BASIC!$AD$3:$AD$230</c:f>
              <c:numCache>
                <c:formatCode>General</c:formatCode>
                <c:ptCount val="228"/>
                <c:pt idx="0">
                  <c:v>1.6569548414411133</c:v>
                </c:pt>
                <c:pt idx="1">
                  <c:v>1.6572754728492241</c:v>
                </c:pt>
                <c:pt idx="2">
                  <c:v>1.6576136299959181</c:v>
                </c:pt>
                <c:pt idx="3">
                  <c:v>1.657968981552056</c:v>
                </c:pt>
                <c:pt idx="4">
                  <c:v>1.6583412015335905</c:v>
                </c:pt>
                <c:pt idx="5">
                  <c:v>1.6587299691895312</c:v>
                </c:pt>
                <c:pt idx="6">
                  <c:v>1.6591349688905288</c:v>
                </c:pt>
                <c:pt idx="7">
                  <c:v>1.6595558900180876</c:v>
                </c:pt>
                <c:pt idx="8">
                  <c:v>1.659992426854483</c:v>
                </c:pt>
                <c:pt idx="9">
                  <c:v>1.660444278473433</c:v>
                </c:pt>
                <c:pt idx="10">
                  <c:v>1.660911148631544</c:v>
                </c:pt>
                <c:pt idx="11">
                  <c:v>1.6613927456606186</c:v>
                </c:pt>
                <c:pt idx="12">
                  <c:v>1.6618887823608366</c:v>
                </c:pt>
                <c:pt idx="13">
                  <c:v>1.6623989758948858</c:v>
                </c:pt>
                <c:pt idx="14">
                  <c:v>1.6629230476830588</c:v>
                </c:pt>
                <c:pt idx="15">
                  <c:v>1.663460723299375</c:v>
                </c:pt>
                <c:pt idx="16">
                  <c:v>1.6640117323687842</c:v>
                </c:pt>
                <c:pt idx="17">
                  <c:v>1.6645758084654205</c:v>
                </c:pt>
                <c:pt idx="18">
                  <c:v>1.6651526890120658</c:v>
                </c:pt>
                <c:pt idx="19">
                  <c:v>1.6657421151807021</c:v>
                </c:pt>
                <c:pt idx="20">
                  <c:v>1.6663438317943045</c:v>
                </c:pt>
                <c:pt idx="21">
                  <c:v>1.6669575872298739</c:v>
                </c:pt>
                <c:pt idx="22">
                  <c:v>1.6675831333226629</c:v>
                </c:pt>
                <c:pt idx="23">
                  <c:v>1.6682202252717231</c:v>
                </c:pt>
                <c:pt idx="24">
                  <c:v>1.6688686215466904</c:v>
                </c:pt>
                <c:pt idx="25">
                  <c:v>1.6695280837959077</c:v>
                </c:pt>
                <c:pt idx="26">
                  <c:v>1.6701983767558222</c:v>
                </c:pt>
                <c:pt idx="27">
                  <c:v>1.6708792681617137</c:v>
                </c:pt>
                <c:pt idx="28">
                  <c:v>1.6715705286597313</c:v>
                </c:pt>
                <c:pt idx="29">
                  <c:v>1.6722719317202344</c:v>
                </c:pt>
                <c:pt idx="30">
                  <c:v>1.6729832535524674</c:v>
                </c:pt>
                <c:pt idx="31">
                  <c:v>1.6737042730205081</c:v>
                </c:pt>
                <c:pt idx="32">
                  <c:v>1.6744347715605228</c:v>
                </c:pt>
                <c:pt idx="33">
                  <c:v>1.6751745330992798</c:v>
                </c:pt>
                <c:pt idx="34">
                  <c:v>1.6759233439739409</c:v>
                </c:pt>
                <c:pt idx="35">
                  <c:v>1.6766809928530495</c:v>
                </c:pt>
                <c:pt idx="36">
                  <c:v>1.6774472706587646</c:v>
                </c:pt>
                <c:pt idx="37">
                  <c:v>1.6782219704902421</c:v>
                </c:pt>
                <c:pt idx="38">
                  <c:v>1.6790048875481611</c:v>
                </c:pt>
                <c:pt idx="39">
                  <c:v>1.679795819060397</c:v>
                </c:pt>
                <c:pt idx="40">
                  <c:v>1.6805945642087081</c:v>
                </c:pt>
                <c:pt idx="41">
                  <c:v>1.6814009240564833</c:v>
                </c:pt>
                <c:pt idx="42">
                  <c:v>1.6822147014774795</c:v>
                </c:pt>
                <c:pt idx="43">
                  <c:v>1.6830357010854711</c:v>
                </c:pt>
                <c:pt idx="44">
                  <c:v>1.6838637291647942</c:v>
                </c:pt>
                <c:pt idx="45">
                  <c:v>1.6846985936017107</c:v>
                </c:pt>
                <c:pt idx="46">
                  <c:v>1.685540103816566</c:v>
                </c:pt>
                <c:pt idx="47">
                  <c:v>1.6863880706966341</c:v>
                </c:pt>
                <c:pt idx="48">
                  <c:v>1.6872423065296249</c:v>
                </c:pt>
                <c:pt idx="49">
                  <c:v>1.6881026249377775</c:v>
                </c:pt>
                <c:pt idx="50">
                  <c:v>1.6889688408124552</c:v>
                </c:pt>
                <c:pt idx="51">
                  <c:v>1.6898407702492029</c:v>
                </c:pt>
                <c:pt idx="52">
                  <c:v>1.6907182304831649</c:v>
                </c:pt>
                <c:pt idx="53">
                  <c:v>1.6916010398247905</c:v>
                </c:pt>
                <c:pt idx="54">
                  <c:v>1.6924890175957668</c:v>
                </c:pt>
                <c:pt idx="55">
                  <c:v>1.6933819840650708</c:v>
                </c:pt>
                <c:pt idx="56">
                  <c:v>1.6942797603850659</c:v>
                </c:pt>
                <c:pt idx="57">
                  <c:v>1.695182168527577</c:v>
                </c:pt>
                <c:pt idx="58">
                  <c:v>1.6960890312197898</c:v>
                </c:pt>
                <c:pt idx="59">
                  <c:v>1.6970001718799472</c:v>
                </c:pt>
                <c:pt idx="60">
                  <c:v>1.6979154145527078</c:v>
                </c:pt>
                <c:pt idx="61">
                  <c:v>1.6988345838440688</c:v>
                </c:pt>
                <c:pt idx="62">
                  <c:v>1.6997575048557574</c:v>
                </c:pt>
                <c:pt idx="63">
                  <c:v>1.7006840031189545</c:v>
                </c:pt>
                <c:pt idx="64">
                  <c:v>1.7016139045272534</c:v>
                </c:pt>
                <c:pt idx="65">
                  <c:v>1.7025470352687682</c:v>
                </c:pt>
                <c:pt idx="66">
                  <c:v>1.7034832217571811</c:v>
                </c:pt>
                <c:pt idx="67">
                  <c:v>1.704422290561689</c:v>
                </c:pt>
                <c:pt idx="68">
                  <c:v>1.705364068335655</c:v>
                </c:pt>
                <c:pt idx="69">
                  <c:v>1.7063083817438551</c:v>
                </c:pt>
                <c:pt idx="70">
                  <c:v>1.7072550573881493</c:v>
                </c:pt>
                <c:pt idx="71">
                  <c:v>1.7082039217314593</c:v>
                </c:pt>
                <c:pt idx="72">
                  <c:v>1.7091548010198139</c:v>
                </c:pt>
                <c:pt idx="73">
                  <c:v>1.7101075212024159</c:v>
                </c:pt>
                <c:pt idx="74">
                  <c:v>1.7110619078494105</c:v>
                </c:pt>
                <c:pt idx="75">
                  <c:v>1.7120177860672829</c:v>
                </c:pt>
                <c:pt idx="76">
                  <c:v>1.7129749804115992</c:v>
                </c:pt>
                <c:pt idx="77">
                  <c:v>1.7139333147969542</c:v>
                </c:pt>
                <c:pt idx="78">
                  <c:v>1.7148926124038433</c:v>
                </c:pt>
                <c:pt idx="79">
                  <c:v>1.7158526955822551</c:v>
                </c:pt>
                <c:pt idx="80">
                  <c:v>1.7168133857517289</c:v>
                </c:pt>
                <c:pt idx="81">
                  <c:v>1.7177745032976084</c:v>
                </c:pt>
                <c:pt idx="82">
                  <c:v>1.7187358674632081</c:v>
                </c:pt>
                <c:pt idx="83">
                  <c:v>1.7196972962375918</c:v>
                </c:pt>
                <c:pt idx="84">
                  <c:v>1.7206586062386469</c:v>
                </c:pt>
                <c:pt idx="85">
                  <c:v>1.7216196125911021</c:v>
                </c:pt>
                <c:pt idx="86">
                  <c:v>1.722580128799128</c:v>
                </c:pt>
                <c:pt idx="87">
                  <c:v>1.7235399666131064</c:v>
                </c:pt>
                <c:pt idx="88">
                  <c:v>1.724498935890193</c:v>
                </c:pt>
                <c:pt idx="89">
                  <c:v>1.7254568444481568</c:v>
                </c:pt>
                <c:pt idx="90">
                  <c:v>1.7264134979120469</c:v>
                </c:pt>
                <c:pt idx="91">
                  <c:v>1.7273686995531607</c:v>
                </c:pt>
                <c:pt idx="92">
                  <c:v>1.728322250119714</c:v>
                </c:pt>
                <c:pt idx="93">
                  <c:v>1.7292739476586212</c:v>
                </c:pt>
                <c:pt idx="94">
                  <c:v>1.730223587327725</c:v>
                </c:pt>
                <c:pt idx="95">
                  <c:v>1.731170961197753</c:v>
                </c:pt>
                <c:pt idx="96">
                  <c:v>1.7321158580431726</c:v>
                </c:pt>
                <c:pt idx="97">
                  <c:v>1.7330580631211836</c:v>
                </c:pt>
                <c:pt idx="98">
                  <c:v>1.7339973579378622</c:v>
                </c:pt>
                <c:pt idx="99">
                  <c:v>1.7349335200004468</c:v>
                </c:pt>
                <c:pt idx="100">
                  <c:v>1.7358663225547182</c:v>
                </c:pt>
                <c:pt idx="101">
                  <c:v>1.7367955343062329</c:v>
                </c:pt>
                <c:pt idx="102">
                  <c:v>1.7377209191241314</c:v>
                </c:pt>
                <c:pt idx="103">
                  <c:v>1.7386422357260671</c:v>
                </c:pt>
                <c:pt idx="104">
                  <c:v>1.7395592373426985</c:v>
                </c:pt>
                <c:pt idx="105">
                  <c:v>1.7404716713600368</c:v>
                </c:pt>
                <c:pt idx="106">
                  <c:v>1.7413792789377101</c:v>
                </c:pt>
                <c:pt idx="107">
                  <c:v>1.7422817946011251</c:v>
                </c:pt>
                <c:pt idx="108">
                  <c:v>1.7431789458051548</c:v>
                </c:pt>
                <c:pt idx="109">
                  <c:v>1.7440704524668853</c:v>
                </c:pt>
                <c:pt idx="110">
                  <c:v>1.7449560264645556</c:v>
                </c:pt>
                <c:pt idx="111">
                  <c:v>1.7458353710996113</c:v>
                </c:pt>
                <c:pt idx="112">
                  <c:v>1.7467081805184232</c:v>
                </c:pt>
                <c:pt idx="113">
                  <c:v>1.7475741390898309</c:v>
                </c:pt>
                <c:pt idx="114">
                  <c:v>1.7484329207342262</c:v>
                </c:pt>
                <c:pt idx="115">
                  <c:v>1.7492841881994499</c:v>
                </c:pt>
                <c:pt idx="116">
                  <c:v>1.7501275922781536</c:v>
                </c:pt>
                <c:pt idx="117">
                  <c:v>1.7509627709606992</c:v>
                </c:pt>
                <c:pt idx="118">
                  <c:v>1.7517893485169154</c:v>
                </c:pt>
                <c:pt idx="119">
                  <c:v>1.7526069344992359</c:v>
                </c:pt>
                <c:pt idx="120">
                  <c:v>1.7534151226588177</c:v>
                </c:pt>
                <c:pt idx="121">
                  <c:v>1.7542134897652399</c:v>
                </c:pt>
                <c:pt idx="122">
                  <c:v>1.7550015943191661</c:v>
                </c:pt>
                <c:pt idx="123">
                  <c:v>1.7557789751461383</c:v>
                </c:pt>
                <c:pt idx="124">
                  <c:v>1.7565451498582385</c:v>
                </c:pt>
                <c:pt idx="125">
                  <c:v>1.7572996131687051</c:v>
                </c:pt>
                <c:pt idx="126">
                  <c:v>1.7580418350428564</c:v>
                </c:pt>
                <c:pt idx="127">
                  <c:v>1.7587712586662669</c:v>
                </c:pt>
                <c:pt idx="128">
                  <c:v>1.7594872982082534</c:v>
                </c:pt>
                <c:pt idx="129">
                  <c:v>1.7601893363544556</c:v>
                </c:pt>
                <c:pt idx="130">
                  <c:v>1.7608767215760766</c:v>
                </c:pt>
                <c:pt idx="131">
                  <c:v>1.7615487650941888</c:v>
                </c:pt>
                <c:pt idx="132">
                  <c:v>1.7622047374845244</c:v>
                </c:pt>
                <c:pt idx="133">
                  <c:v>1.7628438648499487</c:v>
                </c:pt>
                <c:pt idx="134">
                  <c:v>1.7634653244648049</c:v>
                </c:pt>
                <c:pt idx="135">
                  <c:v>1.7640682397675505</c:v>
                </c:pt>
                <c:pt idx="136">
                  <c:v>1.7646516745479568</c:v>
                </c:pt>
                <c:pt idx="137">
                  <c:v>1.7652146261469577</c:v>
                </c:pt>
                <c:pt idx="138">
                  <c:v>1.7657560174656679</c:v>
                </c:pt>
                <c:pt idx="139">
                  <c:v>1.7662746875714537</c:v>
                </c:pt>
                <c:pt idx="140">
                  <c:v>1.7667693806980937</c:v>
                </c:pt>
                <c:pt idx="141">
                  <c:v>1.7672387334647712</c:v>
                </c:pt>
                <c:pt idx="142">
                  <c:v>1.7676812601809901</c:v>
                </c:pt>
                <c:pt idx="143">
                  <c:v>1.7680953361498066</c:v>
                </c:pt>
                <c:pt idx="144">
                  <c:v>1.7684791789098238</c:v>
                </c:pt>
                <c:pt idx="145">
                  <c:v>1.7688308273418327</c:v>
                </c:pt>
                <c:pt idx="146">
                  <c:v>1.7691481184787161</c:v>
                </c:pt>
                <c:pt idx="147">
                  <c:v>1.7694286616694892</c:v>
                </c:pt>
                <c:pt idx="148">
                  <c:v>1.7696698094366874</c:v>
                </c:pt>
                <c:pt idx="149">
                  <c:v>1.7698686239170633</c:v>
                </c:pt>
                <c:pt idx="150">
                  <c:v>1.7700218371805971</c:v>
                </c:pt>
                <c:pt idx="151">
                  <c:v>1.7701258029780507</c:v>
                </c:pt>
                <c:pt idx="152">
                  <c:v>1.7701764365576933</c:v>
                </c:pt>
                <c:pt idx="153">
                  <c:v>1.7701691380767315</c:v>
                </c:pt>
                <c:pt idx="154">
                  <c:v>1.7700986937197374</c:v>
                </c:pt>
                <c:pt idx="155">
                  <c:v>1.7699591467473268</c:v>
                </c:pt>
                <c:pt idx="156">
                  <c:v>1.7697436280201586</c:v>
                </c:pt>
                <c:pt idx="157">
                  <c:v>1.7694441315437464</c:v>
                </c:pt>
                <c:pt idx="158">
                  <c:v>1.7690512143653641</c:v>
                </c:pt>
                <c:pt idx="159">
                  <c:v>1.7685535901943696</c:v>
                </c:pt>
                <c:pt idx="160">
                  <c:v>1.7679375697049828</c:v>
                </c:pt>
                <c:pt idx="161">
                  <c:v>1.7671862726203471</c:v>
                </c:pt>
                <c:pt idx="162">
                  <c:v>1.7662784876769206</c:v>
                </c:pt>
                <c:pt idx="163">
                  <c:v>1.765186966559668</c:v>
                </c:pt>
                <c:pt idx="164">
                  <c:v>1.7638757634391622</c:v>
                </c:pt>
                <c:pt idx="165">
                  <c:v>1.76229587040867</c:v>
                </c:pt>
                <c:pt idx="166">
                  <c:v>1.7603775860053774</c:v>
                </c:pt>
                <c:pt idx="167">
                  <c:v>1.7580160188849403</c:v>
                </c:pt>
                <c:pt idx="168">
                  <c:v>1.7550402575425406</c:v>
                </c:pt>
                <c:pt idx="169">
                  <c:v>1.7511359975266469</c:v>
                </c:pt>
                <c:pt idx="170">
                  <c:v>1.745590146299286</c:v>
                </c:pt>
                <c:pt idx="171">
                  <c:v>1.7357403613306401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BASIC!$AE$3:$AE$230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C79D-4B9D-9E96-AF39BCA45E13}"/>
            </c:ext>
          </c:extLst>
        </c:ser>
        <c:ser>
          <c:idx val="43"/>
          <c:order val="21"/>
          <c:marker>
            <c:symbol val="none"/>
          </c:marker>
          <c:xVal>
            <c:numRef>
              <c:f>BASIC!$U$26:$U$27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xVal>
          <c:yVal>
            <c:numRef>
              <c:f>BASIC!$V$26:$V$27</c:f>
              <c:numCache>
                <c:formatCode>General</c:formatCode>
                <c:ptCount val="2"/>
                <c:pt idx="0">
                  <c:v>403.15</c:v>
                </c:pt>
                <c:pt idx="1">
                  <c:v>403.15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2-C79D-4B9D-9E96-AF39BCA45E13}"/>
            </c:ext>
          </c:extLst>
        </c:ser>
        <c:ser>
          <c:idx val="11"/>
          <c:order val="22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BASIC!$X$3:$X$230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C79D-4B9D-9E96-AF39BCA45E13}"/>
            </c:ext>
          </c:extLst>
        </c:ser>
        <c:ser>
          <c:idx val="12"/>
          <c:order val="23"/>
          <c:marker>
            <c:symbol val="none"/>
          </c:marker>
          <c:xVal>
            <c:numRef>
              <c:f>BASIC!$W$3:$W$230</c:f>
              <c:numCache>
                <c:formatCode>General</c:formatCode>
                <c:ptCount val="228"/>
                <c:pt idx="0">
                  <c:v>0.99935383812074075</c:v>
                </c:pt>
                <c:pt idx="1">
                  <c:v>1.0036571124029343</c:v>
                </c:pt>
                <c:pt idx="2">
                  <c:v>1.007949921588732</c:v>
                </c:pt>
                <c:pt idx="3">
                  <c:v>1.0122323565496221</c:v>
                </c:pt>
                <c:pt idx="4">
                  <c:v>1.0165045076500987</c:v>
                </c:pt>
                <c:pt idx="5">
                  <c:v>1.0207664647681178</c:v>
                </c:pt>
                <c:pt idx="6">
                  <c:v>1.025018317315169</c:v>
                </c:pt>
                <c:pt idx="7">
                  <c:v>1.0292601542559727</c:v>
                </c:pt>
                <c:pt idx="8">
                  <c:v>1.0334920641278504</c:v>
                </c:pt>
                <c:pt idx="9">
                  <c:v>1.0377141350597896</c:v>
                </c:pt>
                <c:pt idx="10">
                  <c:v>1.0419264547912337</c:v>
                </c:pt>
                <c:pt idx="11">
                  <c:v>1.0461291106906001</c:v>
                </c:pt>
                <c:pt idx="12">
                  <c:v>1.0503221897736099</c:v>
                </c:pt>
                <c:pt idx="13">
                  <c:v>1.0545057787213796</c:v>
                </c:pt>
                <c:pt idx="14">
                  <c:v>1.0586799638983757</c:v>
                </c:pt>
                <c:pt idx="15">
                  <c:v>1.0628448313701864</c:v>
                </c:pt>
                <c:pt idx="16">
                  <c:v>1.0670004669212028</c:v>
                </c:pt>
                <c:pt idx="17">
                  <c:v>1.0711469560721758</c:v>
                </c:pt>
                <c:pt idx="18">
                  <c:v>1.0752843840977115</c:v>
                </c:pt>
                <c:pt idx="19">
                  <c:v>1.0794128360437187</c:v>
                </c:pt>
                <c:pt idx="20">
                  <c:v>1.0835323967448098</c:v>
                </c:pt>
                <c:pt idx="21">
                  <c:v>1.0876431508417204</c:v>
                </c:pt>
                <c:pt idx="22">
                  <c:v>1.0917451827987306</c:v>
                </c:pt>
                <c:pt idx="23">
                  <c:v>1.0958385769211378</c:v>
                </c:pt>
                <c:pt idx="24">
                  <c:v>1.0999234173727939</c:v>
                </c:pt>
                <c:pt idx="25">
                  <c:v>1.1039997881937191</c:v>
                </c:pt>
                <c:pt idx="26">
                  <c:v>1.1080677733178383</c:v>
                </c:pt>
                <c:pt idx="27">
                  <c:v>1.112127456590849</c:v>
                </c:pt>
                <c:pt idx="28">
                  <c:v>1.1161789217882361</c:v>
                </c:pt>
                <c:pt idx="29">
                  <c:v>1.1202222526334802</c:v>
                </c:pt>
                <c:pt idx="30">
                  <c:v>1.1242575328164468</c:v>
                </c:pt>
                <c:pt idx="31">
                  <c:v>1.1282848460120287</c:v>
                </c:pt>
                <c:pt idx="32">
                  <c:v>1.1323042758990149</c:v>
                </c:pt>
                <c:pt idx="33">
                  <c:v>1.1363159061792447</c:v>
                </c:pt>
                <c:pt idx="34">
                  <c:v>1.1403198205970508</c:v>
                </c:pt>
                <c:pt idx="35">
                  <c:v>1.1443161029590414</c:v>
                </c:pt>
                <c:pt idx="36">
                  <c:v>1.1483048371542033</c:v>
                </c:pt>
                <c:pt idx="37">
                  <c:v>1.152286107174415</c:v>
                </c:pt>
                <c:pt idx="38">
                  <c:v>1.1562599971353227</c:v>
                </c:pt>
                <c:pt idx="39">
                  <c:v>1.1602265912976704</c:v>
                </c:pt>
                <c:pt idx="40">
                  <c:v>1.1641859740890776</c:v>
                </c:pt>
                <c:pt idx="41">
                  <c:v>1.1681382301262944</c:v>
                </c:pt>
                <c:pt idx="42">
                  <c:v>1.1720834442379842</c:v>
                </c:pt>
                <c:pt idx="43">
                  <c:v>1.1760217014880414</c:v>
                </c:pt>
                <c:pt idx="44">
                  <c:v>1.1799530871994934</c:v>
                </c:pt>
                <c:pt idx="45">
                  <c:v>1.1838776869789995</c:v>
                </c:pt>
                <c:pt idx="46">
                  <c:v>1.1877955867420156</c:v>
                </c:pt>
                <c:pt idx="47">
                  <c:v>1.1917068727386215</c:v>
                </c:pt>
                <c:pt idx="48">
                  <c:v>1.1956116315800682</c:v>
                </c:pt>
                <c:pt idx="49">
                  <c:v>1.1995099502660949</c:v>
                </c:pt>
                <c:pt idx="50">
                  <c:v>1.2034019162130283</c:v>
                </c:pt>
                <c:pt idx="51">
                  <c:v>1.2072876172827212</c:v>
                </c:pt>
                <c:pt idx="52">
                  <c:v>1.2111671418124004</c:v>
                </c:pt>
                <c:pt idx="53">
                  <c:v>1.2150405786454082</c:v>
                </c:pt>
                <c:pt idx="54">
                  <c:v>1.2189080171629554</c:v>
                </c:pt>
                <c:pt idx="55">
                  <c:v>1.2227695473168991</c:v>
                </c:pt>
                <c:pt idx="56">
                  <c:v>1.2266252596635954</c:v>
                </c:pt>
                <c:pt idx="57">
                  <c:v>1.2304752453989167</c:v>
                </c:pt>
                <c:pt idx="58">
                  <c:v>1.2343195963944575</c:v>
                </c:pt>
                <c:pt idx="59">
                  <c:v>1.2381584052350196</c:v>
                </c:pt>
                <c:pt idx="60">
                  <c:v>1.2419917652574359</c:v>
                </c:pt>
                <c:pt idx="61">
                  <c:v>1.2458197705907987</c:v>
                </c:pt>
                <c:pt idx="62">
                  <c:v>1.2496425161981703</c:v>
                </c:pt>
                <c:pt idx="63">
                  <c:v>1.253460097919872</c:v>
                </c:pt>
                <c:pt idx="64">
                  <c:v>1.2572726125184119</c:v>
                </c:pt>
                <c:pt idx="65">
                  <c:v>1.2610801577251685</c:v>
                </c:pt>
                <c:pt idx="66">
                  <c:v>1.2648828322888912</c:v>
                </c:pt>
                <c:pt idx="67">
                  <c:v>1.2686807360261754</c:v>
                </c:pt>
                <c:pt idx="68">
                  <c:v>1.2724739698739582</c:v>
                </c:pt>
                <c:pt idx="69">
                  <c:v>1.276262635944196</c:v>
                </c:pt>
                <c:pt idx="70">
                  <c:v>1.2800468375808449</c:v>
                </c:pt>
                <c:pt idx="71">
                  <c:v>1.2838266794192421</c:v>
                </c:pt>
                <c:pt idx="72">
                  <c:v>1.2876022674480709</c:v>
                </c:pt>
                <c:pt idx="73">
                  <c:v>1.2913737090740509</c:v>
                </c:pt>
                <c:pt idx="74">
                  <c:v>1.295141113189485</c:v>
                </c:pt>
                <c:pt idx="75">
                  <c:v>1.2989045902428917</c:v>
                </c:pt>
                <c:pt idx="76">
                  <c:v>1.3026642523128524</c:v>
                </c:pt>
                <c:pt idx="77">
                  <c:v>1.3064202131853251</c:v>
                </c:pt>
                <c:pt idx="78">
                  <c:v>1.3101725884345881</c:v>
                </c:pt>
                <c:pt idx="79">
                  <c:v>1.313921495508096</c:v>
                </c:pt>
                <c:pt idx="80">
                  <c:v>1.3176670538154613</c:v>
                </c:pt>
                <c:pt idx="81">
                  <c:v>1.3214093848218289</c:v>
                </c:pt>
                <c:pt idx="82">
                  <c:v>1.3251486121459628</c:v>
                </c:pt>
                <c:pt idx="83">
                  <c:v>1.3288848616633187</c:v>
                </c:pt>
                <c:pt idx="84">
                  <c:v>1.3326182616144591</c:v>
                </c:pt>
                <c:pt idx="85">
                  <c:v>1.3363489427191748</c:v>
                </c:pt>
                <c:pt idx="86">
                  <c:v>1.3400770382966898</c:v>
                </c:pt>
                <c:pt idx="87">
                  <c:v>1.3438026843923925</c:v>
                </c:pt>
                <c:pt idx="88">
                  <c:v>1.3475260199115398</c:v>
                </c:pt>
                <c:pt idx="89">
                  <c:v>1.3512471867604432</c:v>
                </c:pt>
                <c:pt idx="90">
                  <c:v>1.3549663299956802</c:v>
                </c:pt>
                <c:pt idx="91">
                  <c:v>1.3586835979819074</c:v>
                </c:pt>
                <c:pt idx="92">
                  <c:v>1.3623991425589403</c:v>
                </c:pt>
                <c:pt idx="93">
                  <c:v>1.366113119218791</c:v>
                </c:pt>
                <c:pt idx="94">
                  <c:v>1.3698256872934167</c:v>
                </c:pt>
                <c:pt idx="95">
                  <c:v>1.3735370101540452</c:v>
                </c:pt>
                <c:pt idx="96">
                  <c:v>1.3772472554229509</c:v>
                </c:pt>
                <c:pt idx="97">
                  <c:v>1.3809565951987335</c:v>
                </c:pt>
                <c:pt idx="98">
                  <c:v>1.3846652062961544</c:v>
                </c:pt>
                <c:pt idx="99">
                  <c:v>1.3883732705017666</c:v>
                </c:pt>
                <c:pt idx="100">
                  <c:v>1.3920809748466492</c:v>
                </c:pt>
                <c:pt idx="101">
                  <c:v>1.395788511897728</c:v>
                </c:pt>
                <c:pt idx="102">
                  <c:v>1.3994960800692851</c:v>
                </c:pt>
                <c:pt idx="103">
                  <c:v>1.4032038839564369</c:v>
                </c:pt>
                <c:pt idx="104">
                  <c:v>1.4069121346925726</c:v>
                </c:pt>
                <c:pt idx="105">
                  <c:v>1.4106210503329268</c:v>
                </c:pt>
                <c:pt idx="106">
                  <c:v>1.4143308562667165</c:v>
                </c:pt>
                <c:pt idx="107">
                  <c:v>1.4180417856605523</c:v>
                </c:pt>
                <c:pt idx="108">
                  <c:v>1.421754079936125</c:v>
                </c:pt>
                <c:pt idx="109">
                  <c:v>1.4254679892855344</c:v>
                </c:pt>
                <c:pt idx="110">
                  <c:v>1.4291837732280082</c:v>
                </c:pt>
                <c:pt idx="111">
                  <c:v>1.4329017012122216</c:v>
                </c:pt>
                <c:pt idx="112">
                  <c:v>1.4366220532689484</c:v>
                </c:pt>
                <c:pt idx="113">
                  <c:v>1.4403451207193387</c:v>
                </c:pt>
                <c:pt idx="114">
                  <c:v>1.4440712069448318</c:v>
                </c:pt>
                <c:pt idx="115">
                  <c:v>1.4478006282254461</c:v>
                </c:pt>
                <c:pt idx="116">
                  <c:v>1.4515337146541378</c:v>
                </c:pt>
                <c:pt idx="117">
                  <c:v>1.4552708111358765</c:v>
                </c:pt>
                <c:pt idx="118">
                  <c:v>1.4590122784813726</c:v>
                </c:pt>
                <c:pt idx="119">
                  <c:v>1.4627584946067025</c:v>
                </c:pt>
                <c:pt idx="120">
                  <c:v>1.4665098558517549</c:v>
                </c:pt>
                <c:pt idx="121">
                  <c:v>1.4702667784322663</c:v>
                </c:pt>
                <c:pt idx="122">
                  <c:v>1.4740297000424785</c:v>
                </c:pt>
                <c:pt idx="123">
                  <c:v>1.4777990816280131</c:v>
                </c:pt>
                <c:pt idx="124">
                  <c:v>1.4815754093516875</c:v>
                </c:pt>
                <c:pt idx="125">
                  <c:v>1.4853591967785957</c:v>
                </c:pt>
                <c:pt idx="126">
                  <c:v>1.4891509873111239</c:v>
                </c:pt>
                <c:pt idx="127">
                  <c:v>1.4929513569097939</c:v>
                </c:pt>
                <c:pt idx="128">
                  <c:v>1.4967609171419463</c:v>
                </c:pt>
                <c:pt idx="129">
                  <c:v>1.5005803186077911</c:v>
                </c:pt>
                <c:pt idx="130">
                  <c:v>1.5044102548023932</c:v>
                </c:pt>
                <c:pt idx="131">
                  <c:v>1.5082514664830589</c:v>
                </c:pt>
                <c:pt idx="132">
                  <c:v>1.5121047466250273</c:v>
                </c:pt>
                <c:pt idx="133">
                  <c:v>1.5159709460647892</c:v>
                </c:pt>
                <c:pt idx="134">
                  <c:v>1.5198509799506008</c:v>
                </c:pt>
                <c:pt idx="135">
                  <c:v>1.5237458351449489</c:v>
                </c:pt>
                <c:pt idx="136">
                  <c:v>1.5276565787551482</c:v>
                </c:pt>
                <c:pt idx="137">
                  <c:v>1.5315843680077781</c:v>
                </c:pt>
                <c:pt idx="138">
                  <c:v>1.5355304617326928</c:v>
                </c:pt>
                <c:pt idx="139">
                  <c:v>1.5394962337861589</c:v>
                </c:pt>
                <c:pt idx="140">
                  <c:v>1.5434831888247296</c:v>
                </c:pt>
                <c:pt idx="141">
                  <c:v>1.5474929809478202</c:v>
                </c:pt>
                <c:pt idx="142">
                  <c:v>1.5515274358660895</c:v>
                </c:pt>
                <c:pt idx="143">
                  <c:v>1.5555885774365181</c:v>
                </c:pt>
                <c:pt idx="144">
                  <c:v>1.5596786596503731</c:v>
                </c:pt>
                <c:pt idx="145">
                  <c:v>1.5638002054912665</c:v>
                </c:pt>
                <c:pt idx="146">
                  <c:v>1.5679560545327833</c:v>
                </c:pt>
                <c:pt idx="147">
                  <c:v>1.5721494217710987</c:v>
                </c:pt>
                <c:pt idx="148">
                  <c:v>1.5763839710668965</c:v>
                </c:pt>
                <c:pt idx="149">
                  <c:v>1.5806639078244011</c:v>
                </c:pt>
                <c:pt idx="150">
                  <c:v>1.5849940973538441</c:v>
                </c:pt>
                <c:pt idx="151">
                  <c:v>1.5893802180526375</c:v>
                </c:pt>
                <c:pt idx="152">
                  <c:v>1.5938289626003692</c:v>
                </c:pt>
                <c:pt idx="153">
                  <c:v>1.5983483066377104</c:v>
                </c:pt>
                <c:pt idx="154">
                  <c:v>1.6029478743559193</c:v>
                </c:pt>
                <c:pt idx="155">
                  <c:v>1.6076394466979418</c:v>
                </c:pt>
                <c:pt idx="156">
                  <c:v>1.612437685389551</c:v>
                </c:pt>
                <c:pt idx="157">
                  <c:v>1.6173611943994382</c:v>
                </c:pt>
                <c:pt idx="158">
                  <c:v>1.6224341294517362</c:v>
                </c:pt>
                <c:pt idx="159">
                  <c:v>1.6276887390978472</c:v>
                </c:pt>
                <c:pt idx="160">
                  <c:v>1.6331695790984819</c:v>
                </c:pt>
                <c:pt idx="161">
                  <c:v>1.6389409459654878</c:v>
                </c:pt>
                <c:pt idx="162">
                  <c:v>1.6451010727956192</c:v>
                </c:pt>
                <c:pt idx="163">
                  <c:v>1.6518123014955362</c:v>
                </c:pt>
                <c:pt idx="164">
                  <c:v>1.6593758699874803</c:v>
                </c:pt>
                <c:pt idx="165">
                  <c:v>1.6684690487033711</c:v>
                </c:pt>
                <c:pt idx="166">
                  <c:v>1.6813913222963466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C79D-4B9D-9E96-AF39BCA45E13}"/>
            </c:ext>
          </c:extLst>
        </c:ser>
        <c:ser>
          <c:idx val="13"/>
          <c:order val="24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BASIC!$X$3:$X$230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C79D-4B9D-9E96-AF39BCA45E13}"/>
            </c:ext>
          </c:extLst>
        </c:ser>
        <c:ser>
          <c:idx val="14"/>
          <c:order val="25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BASIC!$Z$3:$Z$230</c:f>
              <c:numCache>
                <c:formatCode>General</c:formatCode>
                <c:ptCount val="228"/>
                <c:pt idx="0">
                  <c:v>0.99933750805296717</c:v>
                </c:pt>
                <c:pt idx="1">
                  <c:v>1.0037510542113219</c:v>
                </c:pt>
                <c:pt idx="2">
                  <c:v>1.0081574469674501</c:v>
                </c:pt>
                <c:pt idx="3">
                  <c:v>1.0125567870077967</c:v>
                </c:pt>
                <c:pt idx="4">
                  <c:v>1.0169491737748657</c:v>
                </c:pt>
                <c:pt idx="5">
                  <c:v>1.0213347055045445</c:v>
                </c:pt>
                <c:pt idx="6">
                  <c:v>1.0257134792633278</c:v>
                </c:pt>
                <c:pt idx="7">
                  <c:v>1.0300855909854609</c:v>
                </c:pt>
                <c:pt idx="8">
                  <c:v>1.0344511355099792</c:v>
                </c:pt>
                <c:pt idx="9">
                  <c:v>1.0388102066177529</c:v>
                </c:pt>
                <c:pt idx="10">
                  <c:v>1.0431628970684736</c:v>
                </c:pt>
                <c:pt idx="11">
                  <c:v>1.0475092986376662</c:v>
                </c:pt>
                <c:pt idx="12">
                  <c:v>1.0518495021537271</c:v>
                </c:pt>
                <c:pt idx="13">
                  <c:v>1.05618359753503</c:v>
                </c:pt>
                <c:pt idx="14">
                  <c:v>1.0605116738271241</c:v>
                </c:pt>
                <c:pt idx="15">
                  <c:v>1.064833819240022</c:v>
                </c:pt>
                <c:pt idx="16">
                  <c:v>1.0691501211856773</c:v>
                </c:pt>
                <c:pt idx="17">
                  <c:v>1.0734606663155966</c:v>
                </c:pt>
                <c:pt idx="18">
                  <c:v>1.0777655405586797</c:v>
                </c:pt>
                <c:pt idx="19">
                  <c:v>1.0820648291592987</c:v>
                </c:pt>
                <c:pt idx="20">
                  <c:v>1.0863586167156289</c:v>
                </c:pt>
                <c:pt idx="21">
                  <c:v>1.0906469872183091</c:v>
                </c:pt>
                <c:pt idx="22">
                  <c:v>1.0949300240894224</c:v>
                </c:pt>
                <c:pt idx="23">
                  <c:v>1.0992078102218528</c:v>
                </c:pt>
                <c:pt idx="24">
                  <c:v>1.1034804280190529</c:v>
                </c:pt>
                <c:pt idx="25">
                  <c:v>1.1077479594352693</c:v>
                </c:pt>
                <c:pt idx="26">
                  <c:v>1.1120104860162356</c:v>
                </c:pt>
                <c:pt idx="27">
                  <c:v>1.1162680889404064</c:v>
                </c:pt>
                <c:pt idx="28">
                  <c:v>1.1205208490607623</c:v>
                </c:pt>
                <c:pt idx="29">
                  <c:v>1.1247688469472064</c:v>
                </c:pt>
                <c:pt idx="30">
                  <c:v>1.1290121629296466</c:v>
                </c:pt>
                <c:pt idx="31">
                  <c:v>1.133250877141752</c:v>
                </c:pt>
                <c:pt idx="32">
                  <c:v>1.1374850695654841</c:v>
                </c:pt>
                <c:pt idx="33">
                  <c:v>1.1417148200764151</c:v>
                </c:pt>
                <c:pt idx="34">
                  <c:v>1.1459402084899097</c:v>
                </c:pt>
                <c:pt idx="35">
                  <c:v>1.1501613146081937</c:v>
                </c:pt>
                <c:pt idx="36">
                  <c:v>1.154378218268423</c:v>
                </c:pt>
                <c:pt idx="37">
                  <c:v>1.1585909993917445</c:v>
                </c:pt>
                <c:pt idx="38">
                  <c:v>1.1627997380334603</c:v>
                </c:pt>
                <c:pt idx="39">
                  <c:v>1.1670045144343353</c:v>
                </c:pt>
                <c:pt idx="40">
                  <c:v>1.1712054090731281</c:v>
                </c:pt>
                <c:pt idx="41">
                  <c:v>1.1754025027204051</c:v>
                </c:pt>
                <c:pt idx="42">
                  <c:v>1.17959587649373</c:v>
                </c:pt>
                <c:pt idx="43">
                  <c:v>1.1837856119142895</c:v>
                </c:pt>
                <c:pt idx="44">
                  <c:v>1.187971790965038</c:v>
                </c:pt>
                <c:pt idx="45">
                  <c:v>1.19215449615047</c:v>
                </c:pt>
                <c:pt idx="46">
                  <c:v>1.1963338105580916</c:v>
                </c:pt>
                <c:pt idx="47">
                  <c:v>1.2005098179216789</c:v>
                </c:pt>
                <c:pt idx="48">
                  <c:v>1.2046826026864579</c:v>
                </c:pt>
                <c:pt idx="49">
                  <c:v>1.2088522500762893</c:v>
                </c:pt>
                <c:pt idx="50">
                  <c:v>1.2130188461629825</c:v>
                </c:pt>
                <c:pt idx="51">
                  <c:v>1.217182477937832</c:v>
                </c:pt>
                <c:pt idx="52">
                  <c:v>1.221343233385572</c:v>
                </c:pt>
                <c:pt idx="53">
                  <c:v>1.2255012015607956</c:v>
                </c:pt>
                <c:pt idx="54">
                  <c:v>1.2296564726670625</c:v>
                </c:pt>
                <c:pt idx="55">
                  <c:v>1.2338091381388054</c:v>
                </c:pt>
                <c:pt idx="56">
                  <c:v>1.2379592907261943</c:v>
                </c:pt>
                <c:pt idx="57">
                  <c:v>1.242107024583182</c:v>
                </c:pt>
                <c:pt idx="58">
                  <c:v>1.2462524353588489</c:v>
                </c:pt>
                <c:pt idx="59">
                  <c:v>1.2503956202922966</c:v>
                </c:pt>
                <c:pt idx="60">
                  <c:v>1.2545366783112912</c:v>
                </c:pt>
                <c:pt idx="61">
                  <c:v>1.2586757101348618</c:v>
                </c:pt>
                <c:pt idx="62">
                  <c:v>1.2628128183801235</c:v>
                </c:pt>
                <c:pt idx="63">
                  <c:v>1.2669481076735805</c:v>
                </c:pt>
                <c:pt idx="64">
                  <c:v>1.271081684767166</c:v>
                </c:pt>
                <c:pt idx="65">
                  <c:v>1.2752136586593468</c:v>
                </c:pt>
                <c:pt idx="66">
                  <c:v>1.2793441407216029</c:v>
                </c:pt>
                <c:pt idx="67">
                  <c:v>1.2834732448306192</c:v>
                </c:pt>
                <c:pt idx="68">
                  <c:v>1.2876010875065846</c:v>
                </c:pt>
                <c:pt idx="69">
                  <c:v>1.2917277880579654</c:v>
                </c:pt>
                <c:pt idx="70">
                  <c:v>1.2958534687332248</c:v>
                </c:pt>
                <c:pt idx="71">
                  <c:v>1.2999782548799286</c:v>
                </c:pt>
                <c:pt idx="72">
                  <c:v>1.3041022751117388</c:v>
                </c:pt>
                <c:pt idx="73">
                  <c:v>1.3082256614838801</c:v>
                </c:pt>
                <c:pt idx="74">
                  <c:v>1.3123485496776166</c:v>
                </c:pt>
                <c:pt idx="75">
                  <c:v>1.3164710791944119</c:v>
                </c:pt>
                <c:pt idx="76">
                  <c:v>1.3205933935604801</c:v>
                </c:pt>
                <c:pt idx="77">
                  <c:v>1.3247156405424407</c:v>
                </c:pt>
                <c:pt idx="78">
                  <c:v>1.3288379723749539</c:v>
                </c:pt>
                <c:pt idx="79">
                  <c:v>1.3329605460011649</c:v>
                </c:pt>
                <c:pt idx="80">
                  <c:v>1.3370835233270275</c:v>
                </c:pt>
                <c:pt idx="81">
                  <c:v>1.3412070714904625</c:v>
                </c:pt>
                <c:pt idx="82">
                  <c:v>1.3453313631466228</c:v>
                </c:pt>
                <c:pt idx="83">
                  <c:v>1.3494565767704481</c:v>
                </c:pt>
                <c:pt idx="84">
                  <c:v>1.3535828969779824</c:v>
                </c:pt>
                <c:pt idx="85">
                  <c:v>1.3577105148679747</c:v>
                </c:pt>
                <c:pt idx="86">
                  <c:v>1.3618396283853733</c:v>
                </c:pt>
                <c:pt idx="87">
                  <c:v>1.3659704427087216</c:v>
                </c:pt>
                <c:pt idx="88">
                  <c:v>1.3701031706633617</c:v>
                </c:pt>
                <c:pt idx="89">
                  <c:v>1.3742380331628019</c:v>
                </c:pt>
                <c:pt idx="90">
                  <c:v>1.3783752596807095</c:v>
                </c:pt>
                <c:pt idx="91">
                  <c:v>1.3825150887563475</c:v>
                </c:pt>
                <c:pt idx="92">
                  <c:v>1.3866577685364865</c:v>
                </c:pt>
                <c:pt idx="93">
                  <c:v>1.3908035573572846</c:v>
                </c:pt>
                <c:pt idx="94">
                  <c:v>1.3949527243699085</c:v>
                </c:pt>
                <c:pt idx="95">
                  <c:v>1.3991055502142247</c:v>
                </c:pt>
                <c:pt idx="96">
                  <c:v>1.4032623277452734</c:v>
                </c:pt>
                <c:pt idx="97">
                  <c:v>1.4074233628179644</c:v>
                </c:pt>
                <c:pt idx="98">
                  <c:v>1.41158897513598</c:v>
                </c:pt>
                <c:pt idx="99">
                  <c:v>1.4157594991716778</c:v>
                </c:pt>
                <c:pt idx="100">
                  <c:v>1.4199352851647091</c:v>
                </c:pt>
                <c:pt idx="101">
                  <c:v>1.4241167002079844</c:v>
                </c:pt>
                <c:pt idx="102">
                  <c:v>1.4283041294308989</c:v>
                </c:pt>
                <c:pt idx="103">
                  <c:v>1.4324979772910107</c:v>
                </c:pt>
                <c:pt idx="104">
                  <c:v>1.4366986689869985</c:v>
                </c:pt>
                <c:pt idx="105">
                  <c:v>1.4409066520075446</c:v>
                </c:pt>
                <c:pt idx="106">
                  <c:v>1.4451223978330272</c:v>
                </c:pt>
                <c:pt idx="107">
                  <c:v>1.4493464038093096</c:v>
                </c:pt>
                <c:pt idx="108">
                  <c:v>1.4535791952161474</c:v>
                </c:pt>
                <c:pt idx="109">
                  <c:v>1.4578213275560674</c:v>
                </c:pt>
                <c:pt idx="110">
                  <c:v>1.4620733890939968</c:v>
                </c:pt>
                <c:pt idx="111">
                  <c:v>1.4663360036828681</c:v>
                </c:pt>
                <c:pt idx="112">
                  <c:v>1.4706098339165528</c:v>
                </c:pt>
                <c:pt idx="113">
                  <c:v>1.4748955846587462</c:v>
                </c:pt>
                <c:pt idx="114">
                  <c:v>1.479194007005306</c:v>
                </c:pt>
                <c:pt idx="115">
                  <c:v>1.4835059027482476</c:v>
                </c:pt>
                <c:pt idx="116">
                  <c:v>1.4878321294227363</c:v>
                </c:pt>
                <c:pt idx="117">
                  <c:v>1.4921736060345696</c:v>
                </c:pt>
                <c:pt idx="118">
                  <c:v>1.4965313195854666</c:v>
                </c:pt>
                <c:pt idx="119">
                  <c:v>1.5009063325383531</c:v>
                </c:pt>
                <c:pt idx="120">
                  <c:v>1.5052997913955839</c:v>
                </c:pt>
                <c:pt idx="121">
                  <c:v>1.5097129366021198</c:v>
                </c:pt>
                <c:pt idx="122">
                  <c:v>1.5141471140349412</c:v>
                </c:pt>
                <c:pt idx="123">
                  <c:v>1.5186037884029813</c:v>
                </c:pt>
                <c:pt idx="124">
                  <c:v>1.5230845589629871</c:v>
                </c:pt>
                <c:pt idx="125">
                  <c:v>1.5275911780620195</c:v>
                </c:pt>
                <c:pt idx="126">
                  <c:v>1.5321255731552805</c:v>
                </c:pt>
                <c:pt idx="127">
                  <c:v>1.5366898731305469</c:v>
                </c:pt>
                <c:pt idx="128">
                  <c:v>1.54128644001469</c:v>
                </c:pt>
                <c:pt idx="129">
                  <c:v>1.545917907468076</c:v>
                </c:pt>
                <c:pt idx="130">
                  <c:v>1.5505872279251893</c:v>
                </c:pt>
                <c:pt idx="131">
                  <c:v>1.5552977308679445</c:v>
                </c:pt>
                <c:pt idx="132">
                  <c:v>1.5600531956033794</c:v>
                </c:pt>
                <c:pt idx="133">
                  <c:v>1.5648579431849183</c:v>
                </c:pt>
                <c:pt idx="134">
                  <c:v>1.5697169539640918</c:v>
                </c:pt>
                <c:pt idx="135">
                  <c:v>1.5746360200067189</c:v>
                </c:pt>
                <c:pt idx="136">
                  <c:v>1.5796219457823408</c:v>
                </c:pt>
                <c:pt idx="137">
                  <c:v>1.5846828170379108</c:v>
                </c:pt>
                <c:pt idx="138">
                  <c:v>1.5898283681782956</c:v>
                </c:pt>
                <c:pt idx="139">
                  <c:v>1.595070495679884</c:v>
                </c:pt>
                <c:pt idx="140">
                  <c:v>1.6004239945354957</c:v>
                </c:pt>
                <c:pt idx="141">
                  <c:v>1.605907647374393</c:v>
                </c:pt>
                <c:pt idx="142">
                  <c:v>1.611545894680219</c:v>
                </c:pt>
                <c:pt idx="143">
                  <c:v>1.6173715110634725</c:v>
                </c:pt>
                <c:pt idx="144">
                  <c:v>1.6234301325014291</c:v>
                </c:pt>
                <c:pt idx="145">
                  <c:v>1.6297884603721666</c:v>
                </c:pt>
                <c:pt idx="146">
                  <c:v>1.6365505380110905</c:v>
                </c:pt>
                <c:pt idx="147">
                  <c:v>1.6438943589045163</c:v>
                </c:pt>
                <c:pt idx="148">
                  <c:v>1.6521712238741983</c:v>
                </c:pt>
                <c:pt idx="149">
                  <c:v>1.6622788867183871</c:v>
                </c:pt>
                <c:pt idx="150">
                  <c:v>1.6789542324713218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C79D-4B9D-9E96-AF39BCA45E13}"/>
            </c:ext>
          </c:extLst>
        </c:ser>
        <c:ser>
          <c:idx val="15"/>
          <c:order val="26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BASIC!$AG$3:$AG$230</c:f>
              <c:numCache>
                <c:formatCode>General</c:formatCode>
                <c:ptCount val="228"/>
                <c:pt idx="0">
                  <c:v>1.7980034610763109</c:v>
                </c:pt>
                <c:pt idx="1">
                  <c:v>1.7974937299322786</c:v>
                </c:pt>
                <c:pt idx="2">
                  <c:v>1.7970018120329081</c:v>
                </c:pt>
                <c:pt idx="3">
                  <c:v>1.7965273582789791</c:v>
                </c:pt>
                <c:pt idx="4">
                  <c:v>1.796070023839893</c:v>
                </c:pt>
                <c:pt idx="5">
                  <c:v>1.795629468024516</c:v>
                </c:pt>
                <c:pt idx="6">
                  <c:v>1.795205354153552</c:v>
                </c:pt>
                <c:pt idx="7">
                  <c:v>1.7947973494333396</c:v>
                </c:pt>
                <c:pt idx="8">
                  <c:v>1.7944051248310544</c:v>
                </c:pt>
                <c:pt idx="9">
                  <c:v>1.7940283549511726</c:v>
                </c:pt>
                <c:pt idx="10">
                  <c:v>1.7936667179131669</c:v>
                </c:pt>
                <c:pt idx="11">
                  <c:v>1.793319895230334</c:v>
                </c:pt>
                <c:pt idx="12">
                  <c:v>1.7929875716896715</c:v>
                </c:pt>
                <c:pt idx="13">
                  <c:v>1.7926694352327108</c:v>
                </c:pt>
                <c:pt idx="14">
                  <c:v>1.7923651768372297</c:v>
                </c:pt>
                <c:pt idx="15">
                  <c:v>1.7920744903997572</c:v>
                </c:pt>
                <c:pt idx="16">
                  <c:v>1.7917970726187533</c:v>
                </c:pt>
                <c:pt idx="17">
                  <c:v>1.791532622878395</c:v>
                </c:pt>
                <c:pt idx="18">
                  <c:v>1.7912808431328398</c:v>
                </c:pt>
                <c:pt idx="19">
                  <c:v>1.791041437790905</c:v>
                </c:pt>
                <c:pt idx="20">
                  <c:v>1.7908141136009905</c:v>
                </c:pt>
                <c:pt idx="21">
                  <c:v>1.7905985795362245</c:v>
                </c:pt>
                <c:pt idx="22">
                  <c:v>1.7903945466796132</c:v>
                </c:pt>
                <c:pt idx="23">
                  <c:v>1.7902017281091716</c:v>
                </c:pt>
                <c:pt idx="24">
                  <c:v>1.7900198387828525</c:v>
                </c:pt>
                <c:pt idx="25">
                  <c:v>1.7898485954231527</c:v>
                </c:pt>
                <c:pt idx="26">
                  <c:v>1.7896877164012979</c:v>
                </c:pt>
                <c:pt idx="27">
                  <c:v>1.789536921620825</c:v>
                </c:pt>
                <c:pt idx="28">
                  <c:v>1.7893959324004303</c:v>
                </c:pt>
                <c:pt idx="29">
                  <c:v>1.7892644713559513</c:v>
                </c:pt>
                <c:pt idx="30">
                  <c:v>1.7891422622813087</c:v>
                </c:pt>
                <c:pt idx="31">
                  <c:v>1.7890290300282177</c:v>
                </c:pt>
                <c:pt idx="32">
                  <c:v>1.788924500384566</c:v>
                </c:pt>
                <c:pt idx="33">
                  <c:v>1.7888283999511898</c:v>
                </c:pt>
                <c:pt idx="34">
                  <c:v>1.7887404560169236</c:v>
                </c:pt>
                <c:pt idx="35">
                  <c:v>1.7886603964316987</c:v>
                </c:pt>
                <c:pt idx="36">
                  <c:v>1.788587949477473</c:v>
                </c:pt>
                <c:pt idx="37">
                  <c:v>1.7885228437367808</c:v>
                </c:pt>
                <c:pt idx="38">
                  <c:v>1.7884648079586718</c:v>
                </c:pt>
                <c:pt idx="39">
                  <c:v>1.7884135709217721</c:v>
                </c:pt>
                <c:pt idx="40">
                  <c:v>1.7883688612942439</c:v>
                </c:pt>
                <c:pt idx="41">
                  <c:v>1.7883304074903039</c:v>
                </c:pt>
                <c:pt idx="42">
                  <c:v>1.7882979375230919</c:v>
                </c:pt>
                <c:pt idx="43">
                  <c:v>1.7882711788534953</c:v>
                </c:pt>
                <c:pt idx="44">
                  <c:v>1.7882498582346511</c:v>
                </c:pt>
                <c:pt idx="45">
                  <c:v>1.7882337015517713</c:v>
                </c:pt>
                <c:pt idx="46">
                  <c:v>1.7882224336568762</c:v>
                </c:pt>
                <c:pt idx="47">
                  <c:v>1.7882157781980859</c:v>
                </c:pt>
                <c:pt idx="48">
                  <c:v>1.7882134574430255</c:v>
                </c:pt>
                <c:pt idx="49">
                  <c:v>1.7882151920958818</c:v>
                </c:pt>
                <c:pt idx="50">
                  <c:v>1.788220701107613</c:v>
                </c:pt>
                <c:pt idx="51">
                  <c:v>1.7882297014788513</c:v>
                </c:pt>
                <c:pt idx="52">
                  <c:v>1.7882419080548488</c:v>
                </c:pt>
                <c:pt idx="53">
                  <c:v>1.7882570333119507</c:v>
                </c:pt>
                <c:pt idx="54">
                  <c:v>1.7882747871348936</c:v>
                </c:pt>
                <c:pt idx="55">
                  <c:v>1.7882948765842741</c:v>
                </c:pt>
                <c:pt idx="56">
                  <c:v>1.7883170056534079</c:v>
                </c:pt>
                <c:pt idx="57">
                  <c:v>1.7883408750138077</c:v>
                </c:pt>
                <c:pt idx="58">
                  <c:v>1.7883661817483949</c:v>
                </c:pt>
                <c:pt idx="59">
                  <c:v>1.7883926190714914</c:v>
                </c:pt>
                <c:pt idx="60">
                  <c:v>1.7884198760346073</c:v>
                </c:pt>
                <c:pt idx="61">
                  <c:v>1.7884476372169056</c:v>
                </c:pt>
                <c:pt idx="62">
                  <c:v>1.7884755823991401</c:v>
                </c:pt>
                <c:pt idx="63">
                  <c:v>1.788503386219797</c:v>
                </c:pt>
                <c:pt idx="64">
                  <c:v>1.7885307178120151</c:v>
                </c:pt>
                <c:pt idx="65">
                  <c:v>1.7885572404197461</c:v>
                </c:pt>
                <c:pt idx="66">
                  <c:v>1.7885826109914917</c:v>
                </c:pt>
                <c:pt idx="67">
                  <c:v>1.788606479749796</c:v>
                </c:pt>
                <c:pt idx="68">
                  <c:v>1.7886284897344915</c:v>
                </c:pt>
                <c:pt idx="69">
                  <c:v>1.7886482763175129</c:v>
                </c:pt>
                <c:pt idx="70">
                  <c:v>1.7886654666869104</c:v>
                </c:pt>
                <c:pt idx="71">
                  <c:v>1.7886796792974062</c:v>
                </c:pt>
                <c:pt idx="72">
                  <c:v>1.7886905232846479</c:v>
                </c:pt>
                <c:pt idx="73">
                  <c:v>1.7886975978399491</c:v>
                </c:pt>
                <c:pt idx="74">
                  <c:v>1.7887004915420739</c:v>
                </c:pt>
                <c:pt idx="75">
                  <c:v>1.7886987816421402</c:v>
                </c:pt>
                <c:pt idx="76">
                  <c:v>1.7886920332974416</c:v>
                </c:pt>
                <c:pt idx="77">
                  <c:v>1.7886797987494301</c:v>
                </c:pt>
                <c:pt idx="78">
                  <c:v>1.7886616164406384</c:v>
                </c:pt>
                <c:pt idx="79">
                  <c:v>1.7886370100647075</c:v>
                </c:pt>
                <c:pt idx="80">
                  <c:v>1.7886054875430766</c:v>
                </c:pt>
                <c:pt idx="81">
                  <c:v>1.7885665399210797</c:v>
                </c:pt>
                <c:pt idx="82">
                  <c:v>1.7885196401754135</c:v>
                </c:pt>
                <c:pt idx="83">
                  <c:v>1.7884642419239472</c:v>
                </c:pt>
                <c:pt idx="84">
                  <c:v>1.7883997780277441</c:v>
                </c:pt>
                <c:pt idx="85">
                  <c:v>1.788325659073926</c:v>
                </c:pt>
                <c:pt idx="86">
                  <c:v>1.7882412717265912</c:v>
                </c:pt>
                <c:pt idx="87">
                  <c:v>1.7881459769312811</c:v>
                </c:pt>
                <c:pt idx="88">
                  <c:v>1.7880391079567068</c:v>
                </c:pt>
                <c:pt idx="89">
                  <c:v>1.7879199682551348</c:v>
                </c:pt>
                <c:pt idx="90">
                  <c:v>1.7877878291203497</c:v>
                </c:pt>
                <c:pt idx="91">
                  <c:v>1.7876419271191863</c:v>
                </c:pt>
                <c:pt idx="92">
                  <c:v>1.7874814612691359</c:v>
                </c:pt>
                <c:pt idx="93">
                  <c:v>1.787305589930541</c:v>
                </c:pt>
                <c:pt idx="94">
                  <c:v>1.7871134273771609</c:v>
                </c:pt>
                <c:pt idx="95">
                  <c:v>1.7869040400034246</c:v>
                </c:pt>
                <c:pt idx="96">
                  <c:v>1.7866764421200199</c:v>
                </c:pt>
                <c:pt idx="97">
                  <c:v>1.7864295912818127</c:v>
                </c:pt>
                <c:pt idx="98">
                  <c:v>1.7861623830828066</c:v>
                </c:pt>
                <c:pt idx="99">
                  <c:v>1.7858736453418298</c:v>
                </c:pt>
                <c:pt idx="100">
                  <c:v>1.7855621315893802</c:v>
                </c:pt>
                <c:pt idx="101">
                  <c:v>1.7852265137500749</c:v>
                </c:pt>
                <c:pt idx="102">
                  <c:v>1.7848653738958291</c:v>
                </c:pt>
                <c:pt idx="103">
                  <c:v>1.7844771949211953</c:v>
                </c:pt>
                <c:pt idx="104">
                  <c:v>1.7840603499636254</c:v>
                </c:pt>
                <c:pt idx="105">
                  <c:v>1.7836130903556064</c:v>
                </c:pt>
                <c:pt idx="106">
                  <c:v>1.7831335318517636</c:v>
                </c:pt>
                <c:pt idx="107">
                  <c:v>1.7826196388190827</c:v>
                </c:pt>
                <c:pt idx="108">
                  <c:v>1.7820692060094081</c:v>
                </c:pt>
                <c:pt idx="109">
                  <c:v>1.7814798374464047</c:v>
                </c:pt>
                <c:pt idx="110">
                  <c:v>1.7808489218481833</c:v>
                </c:pt>
                <c:pt idx="111">
                  <c:v>1.7801736038644616</c:v>
                </c:pt>
                <c:pt idx="112">
                  <c:v>1.779450750222686</c:v>
                </c:pt>
                <c:pt idx="113">
                  <c:v>1.7786769096367068</c:v>
                </c:pt>
                <c:pt idx="114">
                  <c:v>1.7778482650134504</c:v>
                </c:pt>
                <c:pt idx="115">
                  <c:v>1.7769605760688427</c:v>
                </c:pt>
                <c:pt idx="116">
                  <c:v>1.7760091098917288</c:v>
                </c:pt>
                <c:pt idx="117">
                  <c:v>1.7749885562122345</c:v>
                </c:pt>
                <c:pt idx="118">
                  <c:v>1.7738929230477158</c:v>
                </c:pt>
                <c:pt idx="119">
                  <c:v>1.7727154068765953</c:v>
                </c:pt>
                <c:pt idx="120">
                  <c:v>1.7714482293155907</c:v>
                </c:pt>
                <c:pt idx="121">
                  <c:v>1.7700824291130917</c:v>
                </c:pt>
                <c:pt idx="122">
                  <c:v>1.7686075935823051</c:v>
                </c:pt>
                <c:pt idx="123">
                  <c:v>1.7670115064911167</c:v>
                </c:pt>
                <c:pt idx="124">
                  <c:v>1.7652796783891829</c:v>
                </c:pt>
                <c:pt idx="125">
                  <c:v>1.7633947077362011</c:v>
                </c:pt>
                <c:pt idx="126">
                  <c:v>1.761335392184026</c:v>
                </c:pt>
                <c:pt idx="127">
                  <c:v>1.7590754598458362</c:v>
                </c:pt>
                <c:pt idx="128">
                  <c:v>1.7565817022855572</c:v>
                </c:pt>
                <c:pt idx="129">
                  <c:v>1.7538111263948208</c:v>
                </c:pt>
                <c:pt idx="130">
                  <c:v>1.7507064165498611</c:v>
                </c:pt>
                <c:pt idx="131">
                  <c:v>1.7471883063460625</c:v>
                </c:pt>
                <c:pt idx="132">
                  <c:v>1.7431418536105421</c:v>
                </c:pt>
                <c:pt idx="133">
                  <c:v>1.7383894403696372</c:v>
                </c:pt>
                <c:pt idx="134">
                  <c:v>1.7326306861481648</c:v>
                </c:pt>
                <c:pt idx="135">
                  <c:v>1.7252816942468745</c:v>
                </c:pt>
                <c:pt idx="136">
                  <c:v>1.7148849359864593</c:v>
                </c:pt>
                <c:pt idx="137">
                  <c:v>1.6942239096108969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C79D-4B9D-9E96-AF39BCA45E13}"/>
            </c:ext>
          </c:extLst>
        </c:ser>
        <c:ser>
          <c:idx val="16"/>
          <c:order val="27"/>
          <c:marker>
            <c:symbol val="none"/>
          </c:marker>
          <c:xVal>
            <c:numRef>
              <c:f>BASIC!$AF$3:$AF$230</c:f>
              <c:numCache>
                <c:formatCode>General</c:formatCode>
                <c:ptCount val="228"/>
                <c:pt idx="0">
                  <c:v>0.99931374563295394</c:v>
                </c:pt>
                <c:pt idx="1">
                  <c:v>1.0038849578137143</c:v>
                </c:pt>
                <c:pt idx="2">
                  <c:v>1.0084472613505648</c:v>
                </c:pt>
                <c:pt idx="3">
                  <c:v>1.0130007730521566</c:v>
                </c:pt>
                <c:pt idx="4">
                  <c:v>1.0175456089741812</c:v>
                </c:pt>
                <c:pt idx="5">
                  <c:v>1.0220818844542183</c:v>
                </c:pt>
                <c:pt idx="6">
                  <c:v>1.0266097141466439</c:v>
                </c:pt>
                <c:pt idx="7">
                  <c:v>1.0311292120575755</c:v>
                </c:pt>
                <c:pt idx="8">
                  <c:v>1.0356404915799566</c:v>
                </c:pt>
                <c:pt idx="9">
                  <c:v>1.0401436655287457</c:v>
                </c:pt>
                <c:pt idx="10">
                  <c:v>1.0446388461762719</c:v>
                </c:pt>
                <c:pt idx="11">
                  <c:v>1.0491261452877929</c:v>
                </c:pt>
                <c:pt idx="12">
                  <c:v>1.0536056741572704</c:v>
                </c:pt>
                <c:pt idx="13">
                  <c:v>1.058077543643408</c:v>
                </c:pt>
                <c:pt idx="14">
                  <c:v>1.062541864205985</c:v>
                </c:pt>
                <c:pt idx="15">
                  <c:v>1.0669987459425283</c:v>
                </c:pt>
                <c:pt idx="16">
                  <c:v>1.0714482986253449</c:v>
                </c:pt>
                <c:pt idx="17">
                  <c:v>1.0758906317389783</c:v>
                </c:pt>
                <c:pt idx="18">
                  <c:v>1.0803258545181003</c:v>
                </c:pt>
                <c:pt idx="19">
                  <c:v>1.0847540759859242</c:v>
                </c:pt>
                <c:pt idx="20">
                  <c:v>1.0891754049931284</c:v>
                </c:pt>
                <c:pt idx="21">
                  <c:v>1.0935899502573998</c:v>
                </c:pt>
                <c:pt idx="22">
                  <c:v>1.0979978204035874</c:v>
                </c:pt>
                <c:pt idx="23">
                  <c:v>1.1023991240045696</c:v>
                </c:pt>
                <c:pt idx="24">
                  <c:v>1.1067939696228546</c:v>
                </c:pt>
                <c:pt idx="25">
                  <c:v>1.1111824658529836</c:v>
                </c:pt>
                <c:pt idx="26">
                  <c:v>1.1155647213648086</c:v>
                </c:pt>
                <c:pt idx="27">
                  <c:v>1.1199408449476846</c:v>
                </c:pt>
                <c:pt idx="28">
                  <c:v>1.1243109455556595</c:v>
                </c:pt>
                <c:pt idx="29">
                  <c:v>1.1286751323537336</c:v>
                </c:pt>
                <c:pt idx="30">
                  <c:v>1.1330335147652635</c:v>
                </c:pt>
                <c:pt idx="31">
                  <c:v>1.1373862025205654</c:v>
                </c:pt>
                <c:pt idx="32">
                  <c:v>1.1417333057068535</c:v>
                </c:pt>
                <c:pt idx="33">
                  <c:v>1.1460749348195349</c:v>
                </c:pt>
                <c:pt idx="34">
                  <c:v>1.1504112008150191</c:v>
                </c:pt>
                <c:pt idx="35">
                  <c:v>1.1547422151651017</c:v>
                </c:pt>
                <c:pt idx="36">
                  <c:v>1.159068089913037</c:v>
                </c:pt>
                <c:pt idx="37">
                  <c:v>1.163388937731423</c:v>
                </c:pt>
                <c:pt idx="38">
                  <c:v>1.1677048719820091</c:v>
                </c:pt>
                <c:pt idx="39">
                  <c:v>1.1720160067775527</c:v>
                </c:pt>
                <c:pt idx="40">
                  <c:v>1.1763224570458735</c:v>
                </c:pt>
                <c:pt idx="41">
                  <c:v>1.1806243385962252</c:v>
                </c:pt>
                <c:pt idx="42">
                  <c:v>1.1849217681881827</c:v>
                </c:pt>
                <c:pt idx="43">
                  <c:v>1.1892148636031594</c:v>
                </c:pt>
                <c:pt idx="44">
                  <c:v>1.1935037437187745</c:v>
                </c:pt>
                <c:pt idx="45">
                  <c:v>1.1977885285862369</c:v>
                </c:pt>
                <c:pt idx="46">
                  <c:v>1.2020693395109567</c:v>
                </c:pt>
                <c:pt idx="47">
                  <c:v>1.2063462991366001</c:v>
                </c:pt>
                <c:pt idx="48">
                  <c:v>1.2106195315328308</c:v>
                </c:pt>
                <c:pt idx="49">
                  <c:v>1.2148891622869842</c:v>
                </c:pt>
                <c:pt idx="50">
                  <c:v>1.2191553185999238</c:v>
                </c:pt>
                <c:pt idx="51">
                  <c:v>1.223418129386433</c:v>
                </c:pt>
                <c:pt idx="52">
                  <c:v>1.2276777253803743</c:v>
                </c:pt>
                <c:pt idx="53">
                  <c:v>1.2319342392450277</c:v>
                </c:pt>
                <c:pt idx="54">
                  <c:v>1.2361878056889293</c:v>
                </c:pt>
                <c:pt idx="55">
                  <c:v>1.2404385615876299</c:v>
                </c:pt>
                <c:pt idx="56">
                  <c:v>1.2446866461117845</c:v>
                </c:pt>
                <c:pt idx="57">
                  <c:v>1.2489322008620474</c:v>
                </c:pt>
                <c:pt idx="58">
                  <c:v>1.2531753700112871</c:v>
                </c:pt>
                <c:pt idx="59">
                  <c:v>1.2574163004546239</c:v>
                </c:pt>
                <c:pt idx="60">
                  <c:v>1.2616551419679352</c:v>
                </c:pt>
                <c:pt idx="61">
                  <c:v>1.265892047375438</c:v>
                </c:pt>
                <c:pt idx="62">
                  <c:v>1.2701271727270611</c:v>
                </c:pt>
                <c:pt idx="63">
                  <c:v>1.2743606774863565</c:v>
                </c:pt>
                <c:pt idx="64">
                  <c:v>1.2785927247298214</c:v>
                </c:pt>
                <c:pt idx="65">
                  <c:v>1.2828234813584887</c:v>
                </c:pt>
                <c:pt idx="66">
                  <c:v>1.2870531183228235</c:v>
                </c:pt>
                <c:pt idx="67">
                  <c:v>1.291281810861985</c:v>
                </c:pt>
                <c:pt idx="68">
                  <c:v>1.2955097387586763</c:v>
                </c:pt>
                <c:pt idx="69">
                  <c:v>1.2997370866108715</c:v>
                </c:pt>
                <c:pt idx="70">
                  <c:v>1.3039640441218592</c:v>
                </c:pt>
                <c:pt idx="71">
                  <c:v>1.308190806410207</c:v>
                </c:pt>
                <c:pt idx="72">
                  <c:v>1.3124175743413831</c:v>
                </c:pt>
                <c:pt idx="73">
                  <c:v>1.3166445548829542</c:v>
                </c:pt>
                <c:pt idx="74">
                  <c:v>1.3208719614855138</c:v>
                </c:pt>
                <c:pt idx="75">
                  <c:v>1.3251000144916725</c:v>
                </c:pt>
                <c:pt idx="76">
                  <c:v>1.3293289415757501</c:v>
                </c:pt>
                <c:pt idx="77">
                  <c:v>1.3335589782170605</c:v>
                </c:pt>
                <c:pt idx="78">
                  <c:v>1.3377903682100312</c:v>
                </c:pt>
                <c:pt idx="79">
                  <c:v>1.3420233642147337</c:v>
                </c:pt>
                <c:pt idx="80">
                  <c:v>1.3462582283518787</c:v>
                </c:pt>
                <c:pt idx="81">
                  <c:v>1.3504952328467386</c:v>
                </c:pt>
                <c:pt idx="82">
                  <c:v>1.3547346607270343</c:v>
                </c:pt>
                <c:pt idx="83">
                  <c:v>1.3589768065804602</c:v>
                </c:pt>
                <c:pt idx="84">
                  <c:v>1.3632219773781797</c:v>
                </c:pt>
                <c:pt idx="85">
                  <c:v>1.3674704933714508</c:v>
                </c:pt>
                <c:pt idx="86">
                  <c:v>1.3717226890694978</c:v>
                </c:pt>
                <c:pt idx="87">
                  <c:v>1.3759789143077727</c:v>
                </c:pt>
                <c:pt idx="88">
                  <c:v>1.3802395354170025</c:v>
                </c:pt>
                <c:pt idx="89">
                  <c:v>1.3845049365048676</c:v>
                </c:pt>
                <c:pt idx="90">
                  <c:v>1.3887755208637766</c:v>
                </c:pt>
                <c:pt idx="91">
                  <c:v>1.3930517125201733</c:v>
                </c:pt>
                <c:pt idx="92">
                  <c:v>1.3973339579430926</c:v>
                </c:pt>
                <c:pt idx="93">
                  <c:v>1.4016227279322455</c:v>
                </c:pt>
                <c:pt idx="94">
                  <c:v>1.4059185197091464</c:v>
                </c:pt>
                <c:pt idx="95">
                  <c:v>1.4102218592384139</c:v>
                </c:pt>
                <c:pt idx="96">
                  <c:v>1.414533303810741</c:v>
                </c:pt>
                <c:pt idx="97">
                  <c:v>1.4188534449242587</c:v>
                </c:pt>
                <c:pt idx="98">
                  <c:v>1.4231829115071708</c:v>
                </c:pt>
                <c:pt idx="99">
                  <c:v>1.4275223735320248</c:v>
                </c:pt>
                <c:pt idx="100">
                  <c:v>1.4318725460809003</c:v>
                </c:pt>
                <c:pt idx="101">
                  <c:v>1.4362341939316494</c:v>
                </c:pt>
                <c:pt idx="102">
                  <c:v>1.4406081367485359</c:v>
                </c:pt>
                <c:pt idx="103">
                  <c:v>1.4449952549766811</c:v>
                </c:pt>
                <c:pt idx="104">
                  <c:v>1.4493964965596156</c:v>
                </c:pt>
                <c:pt idx="105">
                  <c:v>1.4538128846236165</c:v>
                </c:pt>
                <c:pt idx="106">
                  <c:v>1.4582455263030736</c:v>
                </c:pt>
                <c:pt idx="107">
                  <c:v>1.4626956229191517</c:v>
                </c:pt>
                <c:pt idx="108">
                  <c:v>1.4671644817720977</c:v>
                </c:pt>
                <c:pt idx="109">
                  <c:v>1.4716535298684312</c:v>
                </c:pt>
                <c:pt idx="110">
                  <c:v>1.4761643299822695</c:v>
                </c:pt>
                <c:pt idx="111">
                  <c:v>1.4806985995504827</c:v>
                </c:pt>
                <c:pt idx="112">
                  <c:v>1.4852582330321158</c:v>
                </c:pt>
                <c:pt idx="113">
                  <c:v>1.489845328534152</c:v>
                </c:pt>
                <c:pt idx="114">
                  <c:v>1.4944622197332307</c:v>
                </c:pt>
                <c:pt idx="115">
                  <c:v>1.4991115144280944</c:v>
                </c:pt>
                <c:pt idx="116">
                  <c:v>1.5037961414712591</c:v>
                </c:pt>
                <c:pt idx="117">
                  <c:v>1.508519408396767</c:v>
                </c:pt>
                <c:pt idx="118">
                  <c:v>1.51328507285229</c:v>
                </c:pt>
                <c:pt idx="119">
                  <c:v>1.5180974320625342</c:v>
                </c:pt>
                <c:pt idx="120">
                  <c:v>1.5229614361583883</c:v>
                </c:pt>
                <c:pt idx="121">
                  <c:v>1.5278828335582337</c:v>
                </c:pt>
                <c:pt idx="122">
                  <c:v>1.5328683600986088</c:v>
                </c:pt>
                <c:pt idx="123">
                  <c:v>1.5379259889696688</c:v>
                </c:pt>
                <c:pt idx="124">
                  <c:v>1.543065266894899</c:v>
                </c:pt>
                <c:pt idx="125">
                  <c:v>1.5482977754859035</c:v>
                </c:pt>
                <c:pt idx="126">
                  <c:v>1.5536377791166516</c:v>
                </c:pt>
                <c:pt idx="127">
                  <c:v>1.559103159283137</c:v>
                </c:pt>
                <c:pt idx="128">
                  <c:v>1.5647168048479445</c:v>
                </c:pt>
                <c:pt idx="129">
                  <c:v>1.5705087587687354</c:v>
                </c:pt>
                <c:pt idx="130">
                  <c:v>1.5765196850029661</c:v>
                </c:pt>
                <c:pt idx="131">
                  <c:v>1.5828067864300188</c:v>
                </c:pt>
                <c:pt idx="132">
                  <c:v>1.5894546426813387</c:v>
                </c:pt>
                <c:pt idx="133">
                  <c:v>1.5965969831859235</c:v>
                </c:pt>
                <c:pt idx="134">
                  <c:v>1.6044664119939251</c:v>
                </c:pt>
                <c:pt idx="135">
                  <c:v>1.6135320082201567</c:v>
                </c:pt>
                <c:pt idx="136">
                  <c:v>1.6250298525627445</c:v>
                </c:pt>
                <c:pt idx="137">
                  <c:v>1.6458108131385232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C79D-4B9D-9E96-AF39BCA45E13}"/>
            </c:ext>
          </c:extLst>
        </c:ser>
        <c:ser>
          <c:idx val="17"/>
          <c:order val="28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BASIC!$AA$3:$AA$230</c:f>
              <c:numCache>
                <c:formatCode>General</c:formatCode>
                <c:ptCount val="228"/>
                <c:pt idx="0">
                  <c:v>1.8069559969774449</c:v>
                </c:pt>
                <c:pt idx="1">
                  <c:v>1.8064890259302731</c:v>
                </c:pt>
                <c:pt idx="2">
                  <c:v>1.8060402493455878</c:v>
                </c:pt>
                <c:pt idx="3">
                  <c:v>1.8056093490803498</c:v>
                </c:pt>
                <c:pt idx="4">
                  <c:v>1.8051960109803664</c:v>
                </c:pt>
                <c:pt idx="5">
                  <c:v>1.8047999247841711</c:v>
                </c:pt>
                <c:pt idx="6">
                  <c:v>1.8044207840280946</c:v>
                </c:pt>
                <c:pt idx="7">
                  <c:v>1.8040582859525034</c:v>
                </c:pt>
                <c:pt idx="8">
                  <c:v>1.8037121314090641</c:v>
                </c:pt>
                <c:pt idx="9">
                  <c:v>1.8033820247690462</c:v>
                </c:pt>
                <c:pt idx="10">
                  <c:v>1.8030676738325524</c:v>
                </c:pt>
                <c:pt idx="11">
                  <c:v>1.8027687897385882</c:v>
                </c:pt>
                <c:pt idx="12">
                  <c:v>1.8024850868759643</c:v>
                </c:pt>
                <c:pt idx="13">
                  <c:v>1.8022162827949164</c:v>
                </c:pt>
                <c:pt idx="14">
                  <c:v>1.8019620981193973</c:v>
                </c:pt>
                <c:pt idx="15">
                  <c:v>1.8017222564599484</c:v>
                </c:pt>
                <c:pt idx="16">
                  <c:v>1.801496484327137</c:v>
                </c:pt>
                <c:pt idx="17">
                  <c:v>1.8012845110454323</c:v>
                </c:pt>
                <c:pt idx="18">
                  <c:v>1.8010860686675036</c:v>
                </c:pt>
                <c:pt idx="19">
                  <c:v>1.8009008918888703</c:v>
                </c:pt>
                <c:pt idx="20">
                  <c:v>1.8007287179628013</c:v>
                </c:pt>
                <c:pt idx="21">
                  <c:v>1.8005692866154885</c:v>
                </c:pt>
                <c:pt idx="22">
                  <c:v>1.8004223399613517</c:v>
                </c:pt>
                <c:pt idx="23">
                  <c:v>1.8002876224184599</c:v>
                </c:pt>
                <c:pt idx="24">
                  <c:v>1.8001648806240054</c:v>
                </c:pt>
                <c:pt idx="25">
                  <c:v>1.8000538633497936</c:v>
                </c:pt>
                <c:pt idx="26">
                  <c:v>1.7999543214176583</c:v>
                </c:pt>
                <c:pt idx="27">
                  <c:v>1.7998660076147777</c:v>
                </c:pt>
                <c:pt idx="28">
                  <c:v>1.7997886766088369</c:v>
                </c:pt>
                <c:pt idx="29">
                  <c:v>1.7997220848629747</c:v>
                </c:pt>
                <c:pt idx="30">
                  <c:v>1.7996659905504677</c:v>
                </c:pt>
                <c:pt idx="31">
                  <c:v>1.7996201534690996</c:v>
                </c:pt>
                <c:pt idx="32">
                  <c:v>1.7995843349551675</c:v>
                </c:pt>
                <c:pt idx="33">
                  <c:v>1.7995582977970654</c:v>
                </c:pt>
                <c:pt idx="34">
                  <c:v>1.7995418061483948</c:v>
                </c:pt>
                <c:pt idx="35">
                  <c:v>1.7995346254405247</c:v>
                </c:pt>
                <c:pt idx="36">
                  <c:v>1.7995365222945843</c:v>
                </c:pt>
                <c:pt idx="37">
                  <c:v>1.7995472644327992</c:v>
                </c:pt>
                <c:pt idx="38">
                  <c:v>1.7995666205890881</c:v>
                </c:pt>
                <c:pt idx="39">
                  <c:v>1.7995943604188875</c:v>
                </c:pt>
                <c:pt idx="40">
                  <c:v>1.799630254408118</c:v>
                </c:pt>
                <c:pt idx="41">
                  <c:v>1.7996740737812091</c:v>
                </c:pt>
                <c:pt idx="42">
                  <c:v>1.7997255904080958</c:v>
                </c:pt>
                <c:pt idx="43">
                  <c:v>1.7997845767101206</c:v>
                </c:pt>
                <c:pt idx="44">
                  <c:v>1.7998508055647062</c:v>
                </c:pt>
                <c:pt idx="45">
                  <c:v>1.7999240502087535</c:v>
                </c:pt>
                <c:pt idx="46">
                  <c:v>1.800004084140588</c:v>
                </c:pt>
                <c:pt idx="47">
                  <c:v>1.8000906810203972</c:v>
                </c:pt>
                <c:pt idx="48">
                  <c:v>1.8001836145689711</c:v>
                </c:pt>
                <c:pt idx="49">
                  <c:v>1.8002826584646967</c:v>
                </c:pt>
                <c:pt idx="50">
                  <c:v>1.800387586238535</c:v>
                </c:pt>
                <c:pt idx="51">
                  <c:v>1.800498171166943</c:v>
                </c:pt>
                <c:pt idx="52">
                  <c:v>1.8006141861624902</c:v>
                </c:pt>
                <c:pt idx="53">
                  <c:v>1.8007354036620364</c:v>
                </c:pt>
                <c:pt idx="54">
                  <c:v>1.8008615955122109</c:v>
                </c:pt>
                <c:pt idx="55">
                  <c:v>1.8009925328520646</c:v>
                </c:pt>
                <c:pt idx="56">
                  <c:v>1.8011279859925959</c:v>
                </c:pt>
                <c:pt idx="57">
                  <c:v>1.8012677242929287</c:v>
                </c:pt>
                <c:pt idx="58">
                  <c:v>1.8014115160329121</c:v>
                </c:pt>
                <c:pt idx="59">
                  <c:v>1.8015591282817842</c:v>
                </c:pt>
                <c:pt idx="60">
                  <c:v>1.8017103267626977</c:v>
                </c:pt>
                <c:pt idx="61">
                  <c:v>1.8018648757126776</c:v>
                </c:pt>
                <c:pt idx="62">
                  <c:v>1.8020225377377324</c:v>
                </c:pt>
                <c:pt idx="63">
                  <c:v>1.8021830736627429</c:v>
                </c:pt>
                <c:pt idx="64">
                  <c:v>1.8023462423756578</c:v>
                </c:pt>
                <c:pt idx="65">
                  <c:v>1.8025118006656378</c:v>
                </c:pt>
                <c:pt idx="66">
                  <c:v>1.8026795030546461</c:v>
                </c:pt>
                <c:pt idx="67">
                  <c:v>1.8028491016219799</c:v>
                </c:pt>
                <c:pt idx="68">
                  <c:v>1.8030203458212108</c:v>
                </c:pt>
                <c:pt idx="69">
                  <c:v>1.8031929822889554</c:v>
                </c:pt>
                <c:pt idx="70">
                  <c:v>1.8033667546448138</c:v>
                </c:pt>
                <c:pt idx="71">
                  <c:v>1.8035414032818364</c:v>
                </c:pt>
                <c:pt idx="72">
                  <c:v>1.8037166651467591</c:v>
                </c:pt>
                <c:pt idx="73">
                  <c:v>1.8038922735092091</c:v>
                </c:pt>
                <c:pt idx="74">
                  <c:v>1.8040679577190188</c:v>
                </c:pt>
                <c:pt idx="75">
                  <c:v>1.8042434429507204</c:v>
                </c:pt>
                <c:pt idx="76">
                  <c:v>1.8044184499341924</c:v>
                </c:pt>
                <c:pt idx="77">
                  <c:v>1.8045926946703488</c:v>
                </c:pt>
                <c:pt idx="78">
                  <c:v>1.804765888130669</c:v>
                </c:pt>
                <c:pt idx="79">
                  <c:v>1.8049377359392469</c:v>
                </c:pt>
                <c:pt idx="80">
                  <c:v>1.8051079380359598</c:v>
                </c:pt>
                <c:pt idx="81">
                  <c:v>1.8052761883190784</c:v>
                </c:pt>
                <c:pt idx="82">
                  <c:v>1.8054421742657771</c:v>
                </c:pt>
                <c:pt idx="83">
                  <c:v>1.8056055765284615</c:v>
                </c:pt>
                <c:pt idx="84">
                  <c:v>1.8057660685049486</c:v>
                </c:pt>
                <c:pt idx="85">
                  <c:v>1.8059233158802741</c:v>
                </c:pt>
                <c:pt idx="86">
                  <c:v>1.8060769761374187</c:v>
                </c:pt>
                <c:pt idx="87">
                  <c:v>1.8062266980344144</c:v>
                </c:pt>
                <c:pt idx="88">
                  <c:v>1.8063721210445647</c:v>
                </c:pt>
                <c:pt idx="89">
                  <c:v>1.8065128747565291</c:v>
                </c:pt>
                <c:pt idx="90">
                  <c:v>1.8066485782304118</c:v>
                </c:pt>
                <c:pt idx="91">
                  <c:v>1.8067788393057238</c:v>
                </c:pt>
                <c:pt idx="92">
                  <c:v>1.8069032538565184</c:v>
                </c:pt>
                <c:pt idx="93">
                  <c:v>1.8070214049885371</c:v>
                </c:pt>
                <c:pt idx="94">
                  <c:v>1.8071328621725555</c:v>
                </c:pt>
                <c:pt idx="95">
                  <c:v>1.8072371803074117</c:v>
                </c:pt>
                <c:pt idx="96">
                  <c:v>1.807333898705425</c:v>
                </c:pt>
                <c:pt idx="97">
                  <c:v>1.8074225399920472</c:v>
                </c:pt>
                <c:pt idx="98">
                  <c:v>1.8075026089104691</c:v>
                </c:pt>
                <c:pt idx="99">
                  <c:v>1.807573591020774</c:v>
                </c:pt>
                <c:pt idx="100">
                  <c:v>1.8076349512818763</c:v>
                </c:pt>
                <c:pt idx="101">
                  <c:v>1.8076861325027975</c:v>
                </c:pt>
                <c:pt idx="102">
                  <c:v>1.8077265536481635</c:v>
                </c:pt>
                <c:pt idx="103">
                  <c:v>1.8077556079805261</c:v>
                </c:pt>
                <c:pt idx="104">
                  <c:v>1.8077726610197176</c:v>
                </c:pt>
                <c:pt idx="105">
                  <c:v>1.8077770482965787</c:v>
                </c:pt>
                <c:pt idx="106">
                  <c:v>1.8077680728749632</c:v>
                </c:pt>
                <c:pt idx="107">
                  <c:v>1.807745002611947</c:v>
                </c:pt>
                <c:pt idx="108">
                  <c:v>1.8077070671216</c:v>
                </c:pt>
                <c:pt idx="109">
                  <c:v>1.8076534544019351</c:v>
                </c:pt>
                <c:pt idx="110">
                  <c:v>1.8075833070782956</c:v>
                </c:pt>
                <c:pt idx="111">
                  <c:v>1.807495718208417</c:v>
                </c:pt>
                <c:pt idx="112">
                  <c:v>1.8073897265851018</c:v>
                </c:pt>
                <c:pt idx="113">
                  <c:v>1.8072643114611315</c:v>
                </c:pt>
                <c:pt idx="114">
                  <c:v>1.8071183866074036</c:v>
                </c:pt>
                <c:pt idx="115">
                  <c:v>1.8069507935987592</c:v>
                </c:pt>
                <c:pt idx="116">
                  <c:v>1.806760294201736</c:v>
                </c:pt>
                <c:pt idx="117">
                  <c:v>1.8065455617138655</c:v>
                </c:pt>
                <c:pt idx="118">
                  <c:v>1.806305171073479</c:v>
                </c:pt>
                <c:pt idx="119">
                  <c:v>1.8060375875214245</c:v>
                </c:pt>
                <c:pt idx="120">
                  <c:v>1.8057411535486874</c:v>
                </c:pt>
                <c:pt idx="121">
                  <c:v>1.8054140738049071</c:v>
                </c:pt>
                <c:pt idx="122">
                  <c:v>1.8050543975677598</c:v>
                </c:pt>
                <c:pt idx="123">
                  <c:v>1.8046599982777947</c:v>
                </c:pt>
                <c:pt idx="124">
                  <c:v>1.8042285495207473</c:v>
                </c:pt>
                <c:pt idx="125">
                  <c:v>1.8037574966805436</c:v>
                </c:pt>
                <c:pt idx="126">
                  <c:v>1.8032440232788038</c:v>
                </c:pt>
                <c:pt idx="127">
                  <c:v>1.8026850107424714</c:v>
                </c:pt>
                <c:pt idx="128">
                  <c:v>1.8020769899760121</c:v>
                </c:pt>
                <c:pt idx="129">
                  <c:v>1.8014160826210939</c:v>
                </c:pt>
                <c:pt idx="130">
                  <c:v>1.8006979292132947</c:v>
                </c:pt>
                <c:pt idx="131">
                  <c:v>1.7999176005121906</c:v>
                </c:pt>
                <c:pt idx="132">
                  <c:v>1.7990694869707493</c:v>
                </c:pt>
                <c:pt idx="133">
                  <c:v>1.7981471594382912</c:v>
                </c:pt>
                <c:pt idx="134">
                  <c:v>1.7971431914719771</c:v>
                </c:pt>
                <c:pt idx="135">
                  <c:v>1.7960489296012967</c:v>
                </c:pt>
                <c:pt idx="136">
                  <c:v>1.7948541917869199</c:v>
                </c:pt>
                <c:pt idx="137">
                  <c:v>1.7935468648435384</c:v>
                </c:pt>
                <c:pt idx="138">
                  <c:v>1.7921123564911663</c:v>
                </c:pt>
                <c:pt idx="139">
                  <c:v>1.7905328328451047</c:v>
                </c:pt>
                <c:pt idx="140">
                  <c:v>1.7887861297734637</c:v>
                </c:pt>
                <c:pt idx="141">
                  <c:v>1.7868441512255133</c:v>
                </c:pt>
                <c:pt idx="142">
                  <c:v>1.784670427080487</c:v>
                </c:pt>
                <c:pt idx="143">
                  <c:v>1.7822162251205813</c:v>
                </c:pt>
                <c:pt idx="144">
                  <c:v>1.7794140218670615</c:v>
                </c:pt>
                <c:pt idx="145">
                  <c:v>1.7761657698892368</c:v>
                </c:pt>
                <c:pt idx="146">
                  <c:v>1.7723198494418408</c:v>
                </c:pt>
                <c:pt idx="147">
                  <c:v>1.7676198460724475</c:v>
                </c:pt>
                <c:pt idx="148">
                  <c:v>1.7615676271111027</c:v>
                </c:pt>
                <c:pt idx="149">
                  <c:v>1.7529199578819783</c:v>
                </c:pt>
                <c:pt idx="150">
                  <c:v>1.7354342175429409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C79D-4B9D-9E96-AF39BCA45E13}"/>
            </c:ext>
          </c:extLst>
        </c:ser>
        <c:ser>
          <c:idx val="18"/>
          <c:order val="29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BASIC!$Z$3:$Z$230</c:f>
              <c:numCache>
                <c:formatCode>General</c:formatCode>
                <c:ptCount val="228"/>
                <c:pt idx="0">
                  <c:v>0.99933750805296717</c:v>
                </c:pt>
                <c:pt idx="1">
                  <c:v>1.0037510542113219</c:v>
                </c:pt>
                <c:pt idx="2">
                  <c:v>1.0081574469674501</c:v>
                </c:pt>
                <c:pt idx="3">
                  <c:v>1.0125567870077967</c:v>
                </c:pt>
                <c:pt idx="4">
                  <c:v>1.0169491737748657</c:v>
                </c:pt>
                <c:pt idx="5">
                  <c:v>1.0213347055045445</c:v>
                </c:pt>
                <c:pt idx="6">
                  <c:v>1.0257134792633278</c:v>
                </c:pt>
                <c:pt idx="7">
                  <c:v>1.0300855909854609</c:v>
                </c:pt>
                <c:pt idx="8">
                  <c:v>1.0344511355099792</c:v>
                </c:pt>
                <c:pt idx="9">
                  <c:v>1.0388102066177529</c:v>
                </c:pt>
                <c:pt idx="10">
                  <c:v>1.0431628970684736</c:v>
                </c:pt>
                <c:pt idx="11">
                  <c:v>1.0475092986376662</c:v>
                </c:pt>
                <c:pt idx="12">
                  <c:v>1.0518495021537271</c:v>
                </c:pt>
                <c:pt idx="13">
                  <c:v>1.05618359753503</c:v>
                </c:pt>
                <c:pt idx="14">
                  <c:v>1.0605116738271241</c:v>
                </c:pt>
                <c:pt idx="15">
                  <c:v>1.064833819240022</c:v>
                </c:pt>
                <c:pt idx="16">
                  <c:v>1.0691501211856773</c:v>
                </c:pt>
                <c:pt idx="17">
                  <c:v>1.0734606663155966</c:v>
                </c:pt>
                <c:pt idx="18">
                  <c:v>1.0777655405586797</c:v>
                </c:pt>
                <c:pt idx="19">
                  <c:v>1.0820648291592987</c:v>
                </c:pt>
                <c:pt idx="20">
                  <c:v>1.0863586167156289</c:v>
                </c:pt>
                <c:pt idx="21">
                  <c:v>1.0906469872183091</c:v>
                </c:pt>
                <c:pt idx="22">
                  <c:v>1.0949300240894224</c:v>
                </c:pt>
                <c:pt idx="23">
                  <c:v>1.0992078102218528</c:v>
                </c:pt>
                <c:pt idx="24">
                  <c:v>1.1034804280190529</c:v>
                </c:pt>
                <c:pt idx="25">
                  <c:v>1.1077479594352693</c:v>
                </c:pt>
                <c:pt idx="26">
                  <c:v>1.1120104860162356</c:v>
                </c:pt>
                <c:pt idx="27">
                  <c:v>1.1162680889404064</c:v>
                </c:pt>
                <c:pt idx="28">
                  <c:v>1.1205208490607623</c:v>
                </c:pt>
                <c:pt idx="29">
                  <c:v>1.1247688469472064</c:v>
                </c:pt>
                <c:pt idx="30">
                  <c:v>1.1290121629296466</c:v>
                </c:pt>
                <c:pt idx="31">
                  <c:v>1.133250877141752</c:v>
                </c:pt>
                <c:pt idx="32">
                  <c:v>1.1374850695654841</c:v>
                </c:pt>
                <c:pt idx="33">
                  <c:v>1.1417148200764151</c:v>
                </c:pt>
                <c:pt idx="34">
                  <c:v>1.1459402084899097</c:v>
                </c:pt>
                <c:pt idx="35">
                  <c:v>1.1501613146081937</c:v>
                </c:pt>
                <c:pt idx="36">
                  <c:v>1.154378218268423</c:v>
                </c:pt>
                <c:pt idx="37">
                  <c:v>1.1585909993917445</c:v>
                </c:pt>
                <c:pt idx="38">
                  <c:v>1.1627997380334603</c:v>
                </c:pt>
                <c:pt idx="39">
                  <c:v>1.1670045144343353</c:v>
                </c:pt>
                <c:pt idx="40">
                  <c:v>1.1712054090731281</c:v>
                </c:pt>
                <c:pt idx="41">
                  <c:v>1.1754025027204051</c:v>
                </c:pt>
                <c:pt idx="42">
                  <c:v>1.17959587649373</c:v>
                </c:pt>
                <c:pt idx="43">
                  <c:v>1.1837856119142895</c:v>
                </c:pt>
                <c:pt idx="44">
                  <c:v>1.187971790965038</c:v>
                </c:pt>
                <c:pt idx="45">
                  <c:v>1.19215449615047</c:v>
                </c:pt>
                <c:pt idx="46">
                  <c:v>1.1963338105580916</c:v>
                </c:pt>
                <c:pt idx="47">
                  <c:v>1.2005098179216789</c:v>
                </c:pt>
                <c:pt idx="48">
                  <c:v>1.2046826026864579</c:v>
                </c:pt>
                <c:pt idx="49">
                  <c:v>1.2088522500762893</c:v>
                </c:pt>
                <c:pt idx="50">
                  <c:v>1.2130188461629825</c:v>
                </c:pt>
                <c:pt idx="51">
                  <c:v>1.217182477937832</c:v>
                </c:pt>
                <c:pt idx="52">
                  <c:v>1.221343233385572</c:v>
                </c:pt>
                <c:pt idx="53">
                  <c:v>1.2255012015607956</c:v>
                </c:pt>
                <c:pt idx="54">
                  <c:v>1.2296564726670625</c:v>
                </c:pt>
                <c:pt idx="55">
                  <c:v>1.2338091381388054</c:v>
                </c:pt>
                <c:pt idx="56">
                  <c:v>1.2379592907261943</c:v>
                </c:pt>
                <c:pt idx="57">
                  <c:v>1.242107024583182</c:v>
                </c:pt>
                <c:pt idx="58">
                  <c:v>1.2462524353588489</c:v>
                </c:pt>
                <c:pt idx="59">
                  <c:v>1.2503956202922966</c:v>
                </c:pt>
                <c:pt idx="60">
                  <c:v>1.2545366783112912</c:v>
                </c:pt>
                <c:pt idx="61">
                  <c:v>1.2586757101348618</c:v>
                </c:pt>
                <c:pt idx="62">
                  <c:v>1.2628128183801235</c:v>
                </c:pt>
                <c:pt idx="63">
                  <c:v>1.2669481076735805</c:v>
                </c:pt>
                <c:pt idx="64">
                  <c:v>1.271081684767166</c:v>
                </c:pt>
                <c:pt idx="65">
                  <c:v>1.2752136586593468</c:v>
                </c:pt>
                <c:pt idx="66">
                  <c:v>1.2793441407216029</c:v>
                </c:pt>
                <c:pt idx="67">
                  <c:v>1.2834732448306192</c:v>
                </c:pt>
                <c:pt idx="68">
                  <c:v>1.2876010875065846</c:v>
                </c:pt>
                <c:pt idx="69">
                  <c:v>1.2917277880579654</c:v>
                </c:pt>
                <c:pt idx="70">
                  <c:v>1.2958534687332248</c:v>
                </c:pt>
                <c:pt idx="71">
                  <c:v>1.2999782548799286</c:v>
                </c:pt>
                <c:pt idx="72">
                  <c:v>1.3041022751117388</c:v>
                </c:pt>
                <c:pt idx="73">
                  <c:v>1.3082256614838801</c:v>
                </c:pt>
                <c:pt idx="74">
                  <c:v>1.3123485496776166</c:v>
                </c:pt>
                <c:pt idx="75">
                  <c:v>1.3164710791944119</c:v>
                </c:pt>
                <c:pt idx="76">
                  <c:v>1.3205933935604801</c:v>
                </c:pt>
                <c:pt idx="77">
                  <c:v>1.3247156405424407</c:v>
                </c:pt>
                <c:pt idx="78">
                  <c:v>1.3288379723749539</c:v>
                </c:pt>
                <c:pt idx="79">
                  <c:v>1.3329605460011649</c:v>
                </c:pt>
                <c:pt idx="80">
                  <c:v>1.3370835233270275</c:v>
                </c:pt>
                <c:pt idx="81">
                  <c:v>1.3412070714904625</c:v>
                </c:pt>
                <c:pt idx="82">
                  <c:v>1.3453313631466228</c:v>
                </c:pt>
                <c:pt idx="83">
                  <c:v>1.3494565767704481</c:v>
                </c:pt>
                <c:pt idx="84">
                  <c:v>1.3535828969779824</c:v>
                </c:pt>
                <c:pt idx="85">
                  <c:v>1.3577105148679747</c:v>
                </c:pt>
                <c:pt idx="86">
                  <c:v>1.3618396283853733</c:v>
                </c:pt>
                <c:pt idx="87">
                  <c:v>1.3659704427087216</c:v>
                </c:pt>
                <c:pt idx="88">
                  <c:v>1.3701031706633617</c:v>
                </c:pt>
                <c:pt idx="89">
                  <c:v>1.3742380331628019</c:v>
                </c:pt>
                <c:pt idx="90">
                  <c:v>1.3783752596807095</c:v>
                </c:pt>
                <c:pt idx="91">
                  <c:v>1.3825150887563475</c:v>
                </c:pt>
                <c:pt idx="92">
                  <c:v>1.3866577685364865</c:v>
                </c:pt>
                <c:pt idx="93">
                  <c:v>1.3908035573572846</c:v>
                </c:pt>
                <c:pt idx="94">
                  <c:v>1.3949527243699085</c:v>
                </c:pt>
                <c:pt idx="95">
                  <c:v>1.3991055502142247</c:v>
                </c:pt>
                <c:pt idx="96">
                  <c:v>1.4032623277452734</c:v>
                </c:pt>
                <c:pt idx="97">
                  <c:v>1.4074233628179644</c:v>
                </c:pt>
                <c:pt idx="98">
                  <c:v>1.41158897513598</c:v>
                </c:pt>
                <c:pt idx="99">
                  <c:v>1.4157594991716778</c:v>
                </c:pt>
                <c:pt idx="100">
                  <c:v>1.4199352851647091</c:v>
                </c:pt>
                <c:pt idx="101">
                  <c:v>1.4241167002079844</c:v>
                </c:pt>
                <c:pt idx="102">
                  <c:v>1.4283041294308989</c:v>
                </c:pt>
                <c:pt idx="103">
                  <c:v>1.4324979772910107</c:v>
                </c:pt>
                <c:pt idx="104">
                  <c:v>1.4366986689869985</c:v>
                </c:pt>
                <c:pt idx="105">
                  <c:v>1.4409066520075446</c:v>
                </c:pt>
                <c:pt idx="106">
                  <c:v>1.4451223978330272</c:v>
                </c:pt>
                <c:pt idx="107">
                  <c:v>1.4493464038093096</c:v>
                </c:pt>
                <c:pt idx="108">
                  <c:v>1.4535791952161474</c:v>
                </c:pt>
                <c:pt idx="109">
                  <c:v>1.4578213275560674</c:v>
                </c:pt>
                <c:pt idx="110">
                  <c:v>1.4620733890939968</c:v>
                </c:pt>
                <c:pt idx="111">
                  <c:v>1.4663360036828681</c:v>
                </c:pt>
                <c:pt idx="112">
                  <c:v>1.4706098339165528</c:v>
                </c:pt>
                <c:pt idx="113">
                  <c:v>1.4748955846587462</c:v>
                </c:pt>
                <c:pt idx="114">
                  <c:v>1.479194007005306</c:v>
                </c:pt>
                <c:pt idx="115">
                  <c:v>1.4835059027482476</c:v>
                </c:pt>
                <c:pt idx="116">
                  <c:v>1.4878321294227363</c:v>
                </c:pt>
                <c:pt idx="117">
                  <c:v>1.4921736060345696</c:v>
                </c:pt>
                <c:pt idx="118">
                  <c:v>1.4965313195854666</c:v>
                </c:pt>
                <c:pt idx="119">
                  <c:v>1.5009063325383531</c:v>
                </c:pt>
                <c:pt idx="120">
                  <c:v>1.5052997913955839</c:v>
                </c:pt>
                <c:pt idx="121">
                  <c:v>1.5097129366021198</c:v>
                </c:pt>
                <c:pt idx="122">
                  <c:v>1.5141471140349412</c:v>
                </c:pt>
                <c:pt idx="123">
                  <c:v>1.5186037884029813</c:v>
                </c:pt>
                <c:pt idx="124">
                  <c:v>1.5230845589629871</c:v>
                </c:pt>
                <c:pt idx="125">
                  <c:v>1.5275911780620195</c:v>
                </c:pt>
                <c:pt idx="126">
                  <c:v>1.5321255731552805</c:v>
                </c:pt>
                <c:pt idx="127">
                  <c:v>1.5366898731305469</c:v>
                </c:pt>
                <c:pt idx="128">
                  <c:v>1.54128644001469</c:v>
                </c:pt>
                <c:pt idx="129">
                  <c:v>1.545917907468076</c:v>
                </c:pt>
                <c:pt idx="130">
                  <c:v>1.5505872279251893</c:v>
                </c:pt>
                <c:pt idx="131">
                  <c:v>1.5552977308679445</c:v>
                </c:pt>
                <c:pt idx="132">
                  <c:v>1.5600531956033794</c:v>
                </c:pt>
                <c:pt idx="133">
                  <c:v>1.5648579431849183</c:v>
                </c:pt>
                <c:pt idx="134">
                  <c:v>1.5697169539640918</c:v>
                </c:pt>
                <c:pt idx="135">
                  <c:v>1.5746360200067189</c:v>
                </c:pt>
                <c:pt idx="136">
                  <c:v>1.5796219457823408</c:v>
                </c:pt>
                <c:pt idx="137">
                  <c:v>1.5846828170379108</c:v>
                </c:pt>
                <c:pt idx="138">
                  <c:v>1.5898283681782956</c:v>
                </c:pt>
                <c:pt idx="139">
                  <c:v>1.595070495679884</c:v>
                </c:pt>
                <c:pt idx="140">
                  <c:v>1.6004239945354957</c:v>
                </c:pt>
                <c:pt idx="141">
                  <c:v>1.605907647374393</c:v>
                </c:pt>
                <c:pt idx="142">
                  <c:v>1.611545894680219</c:v>
                </c:pt>
                <c:pt idx="143">
                  <c:v>1.6173715110634725</c:v>
                </c:pt>
                <c:pt idx="144">
                  <c:v>1.6234301325014291</c:v>
                </c:pt>
                <c:pt idx="145">
                  <c:v>1.6297884603721666</c:v>
                </c:pt>
                <c:pt idx="146">
                  <c:v>1.6365505380110905</c:v>
                </c:pt>
                <c:pt idx="147">
                  <c:v>1.6438943589045163</c:v>
                </c:pt>
                <c:pt idx="148">
                  <c:v>1.6521712238741983</c:v>
                </c:pt>
                <c:pt idx="149">
                  <c:v>1.6622788867183871</c:v>
                </c:pt>
                <c:pt idx="150">
                  <c:v>1.6789542324713218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C79D-4B9D-9E96-AF39BCA45E13}"/>
            </c:ext>
          </c:extLst>
        </c:ser>
        <c:ser>
          <c:idx val="19"/>
          <c:order val="30"/>
          <c:marker>
            <c:symbol val="none"/>
          </c:marker>
          <c:xVal>
            <c:numRef>
              <c:f>BASIC!$AC$3:$AC$230</c:f>
              <c:numCache>
                <c:formatCode>General</c:formatCode>
                <c:ptCount val="228"/>
                <c:pt idx="0">
                  <c:v>0.99935803970376491</c:v>
                </c:pt>
                <c:pt idx="1">
                  <c:v>1.003634309600933</c:v>
                </c:pt>
                <c:pt idx="2">
                  <c:v>1.0079024566796952</c:v>
                </c:pt>
                <c:pt idx="3">
                  <c:v>1.012162531181805</c:v>
                </c:pt>
                <c:pt idx="4">
                  <c:v>1.0164145831123341</c:v>
                </c:pt>
                <c:pt idx="5">
                  <c:v>1.0206586622503102</c:v>
                </c:pt>
                <c:pt idx="6">
                  <c:v>1.0248948181594164</c:v>
                </c:pt>
                <c:pt idx="7">
                  <c:v>1.0291231001987537</c:v>
                </c:pt>
                <c:pt idx="8">
                  <c:v>1.0333435575336629</c:v>
                </c:pt>
                <c:pt idx="9">
                  <c:v>1.0375562391465998</c:v>
                </c:pt>
                <c:pt idx="10">
                  <c:v>1.0417611938480669</c:v>
                </c:pt>
                <c:pt idx="11">
                  <c:v>1.0459584702875893</c:v>
                </c:pt>
                <c:pt idx="12">
                  <c:v>1.0501481169647493</c:v>
                </c:pt>
                <c:pt idx="13">
                  <c:v>1.0543301822402567</c:v>
                </c:pt>
                <c:pt idx="14">
                  <c:v>1.0585047143470869</c:v>
                </c:pt>
                <c:pt idx="15">
                  <c:v>1.0626717614016541</c:v>
                </c:pt>
                <c:pt idx="16">
                  <c:v>1.0668313714150417</c:v>
                </c:pt>
                <c:pt idx="17">
                  <c:v>1.0709835923042763</c:v>
                </c:pt>
                <c:pt idx="18">
                  <c:v>1.0751284719036769</c:v>
                </c:pt>
                <c:pt idx="19">
                  <c:v>1.0792660579762345</c:v>
                </c:pt>
                <c:pt idx="20">
                  <c:v>1.0833963982250718</c:v>
                </c:pt>
                <c:pt idx="21">
                  <c:v>1.0875195403049669</c:v>
                </c:pt>
                <c:pt idx="22">
                  <c:v>1.091635531833925</c:v>
                </c:pt>
                <c:pt idx="23">
                  <c:v>1.0957444204048543</c:v>
                </c:pt>
                <c:pt idx="24">
                  <c:v>1.0998462535972939</c:v>
                </c:pt>
                <c:pt idx="25">
                  <c:v>1.103941078989245</c:v>
                </c:pt>
                <c:pt idx="26">
                  <c:v>1.1080289441690816</c:v>
                </c:pt>
                <c:pt idx="27">
                  <c:v>1.1121098967475684</c:v>
                </c:pt>
                <c:pt idx="28">
                  <c:v>1.1161839843699781</c:v>
                </c:pt>
                <c:pt idx="29">
                  <c:v>1.1202512547283197</c:v>
                </c:pt>
                <c:pt idx="30">
                  <c:v>1.1243117555737123</c:v>
                </c:pt>
                <c:pt idx="31">
                  <c:v>1.1283655347288497</c:v>
                </c:pt>
                <c:pt idx="32">
                  <c:v>1.1324126401006489</c:v>
                </c:pt>
                <c:pt idx="33">
                  <c:v>1.1364531196930312</c:v>
                </c:pt>
                <c:pt idx="34">
                  <c:v>1.1404870216198562</c:v>
                </c:pt>
                <c:pt idx="35">
                  <c:v>1.14451439411806</c:v>
                </c:pt>
                <c:pt idx="36">
                  <c:v>1.1485352855609503</c:v>
                </c:pt>
                <c:pt idx="37">
                  <c:v>1.1525497444717301</c:v>
                </c:pt>
                <c:pt idx="38">
                  <c:v>1.1565578195372082</c:v>
                </c:pt>
                <c:pt idx="39">
                  <c:v>1.1605595596217664</c:v>
                </c:pt>
                <c:pt idx="40">
                  <c:v>1.1645550137815506</c:v>
                </c:pt>
                <c:pt idx="41">
                  <c:v>1.1685442312789298</c:v>
                </c:pt>
                <c:pt idx="42">
                  <c:v>1.1725272615972393</c:v>
                </c:pt>
                <c:pt idx="43">
                  <c:v>1.1765041544558079</c:v>
                </c:pt>
                <c:pt idx="44">
                  <c:v>1.1804749598253088</c:v>
                </c:pt>
                <c:pt idx="45">
                  <c:v>1.184439727943438</c:v>
                </c:pt>
                <c:pt idx="46">
                  <c:v>1.1883985093309544</c:v>
                </c:pt>
                <c:pt idx="47">
                  <c:v>1.1923513548080913</c:v>
                </c:pt>
                <c:pt idx="48">
                  <c:v>1.1962983155113749</c:v>
                </c:pt>
                <c:pt idx="49">
                  <c:v>1.2002394429108567</c:v>
                </c:pt>
                <c:pt idx="50">
                  <c:v>1.2041747888278056</c:v>
                </c:pt>
                <c:pt idx="51">
                  <c:v>1.2081044054528813</c:v>
                </c:pt>
                <c:pt idx="52">
                  <c:v>1.2120283453647906</c:v>
                </c:pt>
                <c:pt idx="53">
                  <c:v>1.2159466615495076</c:v>
                </c:pt>
                <c:pt idx="54">
                  <c:v>1.2198594074200462</c:v>
                </c:pt>
                <c:pt idx="55">
                  <c:v>1.223766636836829</c:v>
                </c:pt>
                <c:pt idx="56">
                  <c:v>1.2276684041287045</c:v>
                </c:pt>
                <c:pt idx="57">
                  <c:v>1.2315647641146279</c:v>
                </c:pt>
                <c:pt idx="58">
                  <c:v>1.2354557721260584</c:v>
                </c:pt>
                <c:pt idx="59">
                  <c:v>1.2393414840301045</c:v>
                </c:pt>
                <c:pt idx="60">
                  <c:v>1.2432219562534781</c:v>
                </c:pt>
                <c:pt idx="61">
                  <c:v>1.2470972458072753</c:v>
                </c:pt>
                <c:pt idx="62">
                  <c:v>1.250967410312676</c:v>
                </c:pt>
                <c:pt idx="63">
                  <c:v>1.2548325080275606</c:v>
                </c:pt>
                <c:pt idx="64">
                  <c:v>1.2586925978741412</c:v>
                </c:pt>
                <c:pt idx="65">
                  <c:v>1.2625477394676612</c:v>
                </c:pt>
                <c:pt idx="66">
                  <c:v>1.2663979931461946</c:v>
                </c:pt>
                <c:pt idx="67">
                  <c:v>1.2702434200016584</c:v>
                </c:pt>
                <c:pt idx="68">
                  <c:v>1.2740840819120558</c:v>
                </c:pt>
                <c:pt idx="69">
                  <c:v>1.2779200415750789</c:v>
                </c:pt>
                <c:pt idx="70">
                  <c:v>1.2817513625430992</c:v>
                </c:pt>
                <c:pt idx="71">
                  <c:v>1.285578109259677</c:v>
                </c:pt>
                <c:pt idx="72">
                  <c:v>1.2894003470976378</c:v>
                </c:pt>
                <c:pt idx="73">
                  <c:v>1.2932181423988507</c:v>
                </c:pt>
                <c:pt idx="74">
                  <c:v>1.2970315625157733</c:v>
                </c:pt>
                <c:pt idx="75">
                  <c:v>1.300840675854914</c:v>
                </c:pt>
                <c:pt idx="76">
                  <c:v>1.304645551922283</c:v>
                </c:pt>
                <c:pt idx="77">
                  <c:v>1.308446261370998</c:v>
                </c:pt>
                <c:pt idx="78">
                  <c:v>1.3122428760511569</c:v>
                </c:pt>
                <c:pt idx="79">
                  <c:v>1.3160354690621254</c:v>
                </c:pt>
                <c:pt idx="80">
                  <c:v>1.3198241148073862</c:v>
                </c:pt>
                <c:pt idx="81">
                  <c:v>1.323608889052136</c:v>
                </c:pt>
                <c:pt idx="82">
                  <c:v>1.3273898689837746</c:v>
                </c:pt>
                <c:pt idx="83">
                  <c:v>1.3311671332755115</c:v>
                </c:pt>
                <c:pt idx="84">
                  <c:v>1.3349407621532627</c:v>
                </c:pt>
                <c:pt idx="85">
                  <c:v>1.3387108374660814</c:v>
                </c:pt>
                <c:pt idx="86">
                  <c:v>1.3424774427603379</c:v>
                </c:pt>
                <c:pt idx="87">
                  <c:v>1.3462406633579247</c:v>
                </c:pt>
                <c:pt idx="88">
                  <c:v>1.3500005864387461</c:v>
                </c:pt>
                <c:pt idx="89">
                  <c:v>1.3537573011277915</c:v>
                </c:pt>
                <c:pt idx="90">
                  <c:v>1.357510898587114</c:v>
                </c:pt>
                <c:pt idx="91">
                  <c:v>1.3612614721130731</c:v>
                </c:pt>
                <c:pt idx="92">
                  <c:v>1.3650091172391834</c:v>
                </c:pt>
                <c:pt idx="93">
                  <c:v>1.3687539318450195</c:v>
                </c:pt>
                <c:pt idx="94">
                  <c:v>1.3724960162715747</c:v>
                </c:pt>
                <c:pt idx="95">
                  <c:v>1.3762354734435911</c:v>
                </c:pt>
                <c:pt idx="96">
                  <c:v>1.3799724089993353</c:v>
                </c:pt>
                <c:pt idx="97">
                  <c:v>1.383706931428442</c:v>
                </c:pt>
                <c:pt idx="98">
                  <c:v>1.3874391522183847</c:v>
                </c:pt>
                <c:pt idx="99">
                  <c:v>1.3911691860102773</c:v>
                </c:pt>
                <c:pt idx="100">
                  <c:v>1.3948971507647372</c:v>
                </c:pt>
                <c:pt idx="101">
                  <c:v>1.3986231679385943</c:v>
                </c:pt>
                <c:pt idx="102">
                  <c:v>1.4023473626733418</c:v>
                </c:pt>
                <c:pt idx="103">
                  <c:v>1.4060698639962688</c:v>
                </c:pt>
                <c:pt idx="104">
                  <c:v>1.4097908050353423</c:v>
                </c:pt>
                <c:pt idx="105">
                  <c:v>1.4135103232489861</c:v>
                </c:pt>
                <c:pt idx="106">
                  <c:v>1.4172285606720205</c:v>
                </c:pt>
                <c:pt idx="107">
                  <c:v>1.4209456641791949</c:v>
                </c:pt>
                <c:pt idx="108">
                  <c:v>1.4246617857678057</c:v>
                </c:pt>
                <c:pt idx="109">
                  <c:v>1.4283770828611528</c:v>
                </c:pt>
                <c:pt idx="110">
                  <c:v>1.4320917186346871</c:v>
                </c:pt>
                <c:pt idx="111">
                  <c:v>1.4358058623669638</c:v>
                </c:pt>
                <c:pt idx="112">
                  <c:v>1.4395196898177047</c:v>
                </c:pt>
                <c:pt idx="113">
                  <c:v>1.4432333836355549</c:v>
                </c:pt>
                <c:pt idx="114">
                  <c:v>1.4469471337983972</c:v>
                </c:pt>
                <c:pt idx="115">
                  <c:v>1.4506611380894474</c:v>
                </c:pt>
                <c:pt idx="116">
                  <c:v>1.4543756026126813</c:v>
                </c:pt>
                <c:pt idx="117">
                  <c:v>1.4580907423516329</c:v>
                </c:pt>
                <c:pt idx="118">
                  <c:v>1.4618067817760394</c:v>
                </c:pt>
                <c:pt idx="119">
                  <c:v>1.4655239555013913</c:v>
                </c:pt>
                <c:pt idx="120">
                  <c:v>1.4692425090071144</c:v>
                </c:pt>
                <c:pt idx="121">
                  <c:v>1.4729626994197738</c:v>
                </c:pt>
                <c:pt idx="122">
                  <c:v>1.4766847963686194</c:v>
                </c:pt>
                <c:pt idx="123">
                  <c:v>1.4804090829217174</c:v>
                </c:pt>
                <c:pt idx="124">
                  <c:v>1.4841358566120648</c:v>
                </c:pt>
                <c:pt idx="125">
                  <c:v>1.4878654305644126</c:v>
                </c:pt>
                <c:pt idx="126">
                  <c:v>1.4915981347350176</c:v>
                </c:pt>
                <c:pt idx="127">
                  <c:v>1.4953343172783948</c:v>
                </c:pt>
                <c:pt idx="128">
                  <c:v>1.4990743460571705</c:v>
                </c:pt>
                <c:pt idx="129">
                  <c:v>1.5028186103136842</c:v>
                </c:pt>
                <c:pt idx="130">
                  <c:v>1.5065675225248136</c:v>
                </c:pt>
                <c:pt idx="131">
                  <c:v>1.5103215204650124</c:v>
                </c:pt>
                <c:pt idx="132">
                  <c:v>1.5140810695066438</c:v>
                </c:pt>
                <c:pt idx="133">
                  <c:v>1.5178466651915743</c:v>
                </c:pt>
                <c:pt idx="134">
                  <c:v>1.5216188361139122</c:v>
                </c:pt>
                <c:pt idx="135">
                  <c:v>1.525398147160913</c:v>
                </c:pt>
                <c:pt idx="136">
                  <c:v>1.5291852031677151</c:v>
                </c:pt>
                <c:pt idx="137">
                  <c:v>1.5329806530521792</c:v>
                </c:pt>
                <c:pt idx="138">
                  <c:v>1.5367851945091275</c:v>
                </c:pt>
                <c:pt idx="139">
                  <c:v>1.5405995793593323</c:v>
                </c:pt>
                <c:pt idx="140">
                  <c:v>1.5444246196686093</c:v>
                </c:pt>
                <c:pt idx="141">
                  <c:v>1.5482611947772817</c:v>
                </c:pt>
                <c:pt idx="142">
                  <c:v>1.5521102594114455</c:v>
                </c:pt>
                <c:pt idx="143">
                  <c:v>1.555972853086858</c:v>
                </c:pt>
                <c:pt idx="144">
                  <c:v>1.5598501110660001</c:v>
                </c:pt>
                <c:pt idx="145">
                  <c:v>1.5637432771924593</c:v>
                </c:pt>
                <c:pt idx="146">
                  <c:v>1.5676537190084114</c:v>
                </c:pt>
                <c:pt idx="147">
                  <c:v>1.5715829456671957</c:v>
                </c:pt>
                <c:pt idx="148">
                  <c:v>1.575532629292135</c:v>
                </c:pt>
                <c:pt idx="149">
                  <c:v>1.579504630617945</c:v>
                </c:pt>
                <c:pt idx="150">
                  <c:v>1.5835010299999832</c:v>
                </c:pt>
                <c:pt idx="151">
                  <c:v>1.5875241652160323</c:v>
                </c:pt>
                <c:pt idx="152">
                  <c:v>1.5915766779545315</c:v>
                </c:pt>
                <c:pt idx="153">
                  <c:v>1.5956615715409623</c:v>
                </c:pt>
                <c:pt idx="154">
                  <c:v>1.5997822833910109</c:v>
                </c:pt>
                <c:pt idx="155">
                  <c:v>1.6039427770355046</c:v>
                </c:pt>
                <c:pt idx="156">
                  <c:v>1.6081476605630849</c:v>
                </c:pt>
                <c:pt idx="157">
                  <c:v>1.6124023413396698</c:v>
                </c:pt>
                <c:pt idx="158">
                  <c:v>1.6167132315086081</c:v>
                </c:pt>
                <c:pt idx="159">
                  <c:v>1.6210880261277258</c:v>
                </c:pt>
                <c:pt idx="160">
                  <c:v>1.6255360877937426</c:v>
                </c:pt>
                <c:pt idx="161">
                  <c:v>1.6300689918605507</c:v>
                </c:pt>
                <c:pt idx="162">
                  <c:v>1.6347013219625997</c:v>
                </c:pt>
                <c:pt idx="163">
                  <c:v>1.6394518711417101</c:v>
                </c:pt>
                <c:pt idx="164">
                  <c:v>1.6443455316109243</c:v>
                </c:pt>
                <c:pt idx="165">
                  <c:v>1.6494164223248018</c:v>
                </c:pt>
                <c:pt idx="166">
                  <c:v>1.6547134063990732</c:v>
                </c:pt>
                <c:pt idx="167">
                  <c:v>1.6603106703928903</c:v>
                </c:pt>
                <c:pt idx="168">
                  <c:v>1.6663304587244183</c:v>
                </c:pt>
                <c:pt idx="169">
                  <c:v>1.6730008270467296</c:v>
                </c:pt>
                <c:pt idx="170">
                  <c:v>1.6808492619592188</c:v>
                </c:pt>
                <c:pt idx="171">
                  <c:v>1.6919079364094032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BASIC!$AE$3:$AE$230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C79D-4B9D-9E96-AF39BCA45E13}"/>
            </c:ext>
          </c:extLst>
        </c:ser>
        <c:ser>
          <c:idx val="20"/>
          <c:order val="31"/>
          <c:marker>
            <c:symbol val="none"/>
          </c:marker>
          <c:xVal>
            <c:numRef>
              <c:f>BASIC!$AD$3:$AD$230</c:f>
              <c:numCache>
                <c:formatCode>General</c:formatCode>
                <c:ptCount val="228"/>
                <c:pt idx="0">
                  <c:v>1.6569548414411133</c:v>
                </c:pt>
                <c:pt idx="1">
                  <c:v>1.6572754728492241</c:v>
                </c:pt>
                <c:pt idx="2">
                  <c:v>1.6576136299959181</c:v>
                </c:pt>
                <c:pt idx="3">
                  <c:v>1.657968981552056</c:v>
                </c:pt>
                <c:pt idx="4">
                  <c:v>1.6583412015335905</c:v>
                </c:pt>
                <c:pt idx="5">
                  <c:v>1.6587299691895312</c:v>
                </c:pt>
                <c:pt idx="6">
                  <c:v>1.6591349688905288</c:v>
                </c:pt>
                <c:pt idx="7">
                  <c:v>1.6595558900180876</c:v>
                </c:pt>
                <c:pt idx="8">
                  <c:v>1.659992426854483</c:v>
                </c:pt>
                <c:pt idx="9">
                  <c:v>1.660444278473433</c:v>
                </c:pt>
                <c:pt idx="10">
                  <c:v>1.660911148631544</c:v>
                </c:pt>
                <c:pt idx="11">
                  <c:v>1.6613927456606186</c:v>
                </c:pt>
                <c:pt idx="12">
                  <c:v>1.6618887823608366</c:v>
                </c:pt>
                <c:pt idx="13">
                  <c:v>1.6623989758948858</c:v>
                </c:pt>
                <c:pt idx="14">
                  <c:v>1.6629230476830588</c:v>
                </c:pt>
                <c:pt idx="15">
                  <c:v>1.663460723299375</c:v>
                </c:pt>
                <c:pt idx="16">
                  <c:v>1.6640117323687842</c:v>
                </c:pt>
                <c:pt idx="17">
                  <c:v>1.6645758084654205</c:v>
                </c:pt>
                <c:pt idx="18">
                  <c:v>1.6651526890120658</c:v>
                </c:pt>
                <c:pt idx="19">
                  <c:v>1.6657421151807021</c:v>
                </c:pt>
                <c:pt idx="20">
                  <c:v>1.6663438317943045</c:v>
                </c:pt>
                <c:pt idx="21">
                  <c:v>1.6669575872298739</c:v>
                </c:pt>
                <c:pt idx="22">
                  <c:v>1.6675831333226629</c:v>
                </c:pt>
                <c:pt idx="23">
                  <c:v>1.6682202252717231</c:v>
                </c:pt>
                <c:pt idx="24">
                  <c:v>1.6688686215466904</c:v>
                </c:pt>
                <c:pt idx="25">
                  <c:v>1.6695280837959077</c:v>
                </c:pt>
                <c:pt idx="26">
                  <c:v>1.6701983767558222</c:v>
                </c:pt>
                <c:pt idx="27">
                  <c:v>1.6708792681617137</c:v>
                </c:pt>
                <c:pt idx="28">
                  <c:v>1.6715705286597313</c:v>
                </c:pt>
                <c:pt idx="29">
                  <c:v>1.6722719317202344</c:v>
                </c:pt>
                <c:pt idx="30">
                  <c:v>1.6729832535524674</c:v>
                </c:pt>
                <c:pt idx="31">
                  <c:v>1.6737042730205081</c:v>
                </c:pt>
                <c:pt idx="32">
                  <c:v>1.6744347715605228</c:v>
                </c:pt>
                <c:pt idx="33">
                  <c:v>1.6751745330992798</c:v>
                </c:pt>
                <c:pt idx="34">
                  <c:v>1.6759233439739409</c:v>
                </c:pt>
                <c:pt idx="35">
                  <c:v>1.6766809928530495</c:v>
                </c:pt>
                <c:pt idx="36">
                  <c:v>1.6774472706587646</c:v>
                </c:pt>
                <c:pt idx="37">
                  <c:v>1.6782219704902421</c:v>
                </c:pt>
                <c:pt idx="38">
                  <c:v>1.6790048875481611</c:v>
                </c:pt>
                <c:pt idx="39">
                  <c:v>1.679795819060397</c:v>
                </c:pt>
                <c:pt idx="40">
                  <c:v>1.6805945642087081</c:v>
                </c:pt>
                <c:pt idx="41">
                  <c:v>1.6814009240564833</c:v>
                </c:pt>
                <c:pt idx="42">
                  <c:v>1.6822147014774795</c:v>
                </c:pt>
                <c:pt idx="43">
                  <c:v>1.6830357010854711</c:v>
                </c:pt>
                <c:pt idx="44">
                  <c:v>1.6838637291647942</c:v>
                </c:pt>
                <c:pt idx="45">
                  <c:v>1.6846985936017107</c:v>
                </c:pt>
                <c:pt idx="46">
                  <c:v>1.685540103816566</c:v>
                </c:pt>
                <c:pt idx="47">
                  <c:v>1.6863880706966341</c:v>
                </c:pt>
                <c:pt idx="48">
                  <c:v>1.6872423065296249</c:v>
                </c:pt>
                <c:pt idx="49">
                  <c:v>1.6881026249377775</c:v>
                </c:pt>
                <c:pt idx="50">
                  <c:v>1.6889688408124552</c:v>
                </c:pt>
                <c:pt idx="51">
                  <c:v>1.6898407702492029</c:v>
                </c:pt>
                <c:pt idx="52">
                  <c:v>1.6907182304831649</c:v>
                </c:pt>
                <c:pt idx="53">
                  <c:v>1.6916010398247905</c:v>
                </c:pt>
                <c:pt idx="54">
                  <c:v>1.6924890175957668</c:v>
                </c:pt>
                <c:pt idx="55">
                  <c:v>1.6933819840650708</c:v>
                </c:pt>
                <c:pt idx="56">
                  <c:v>1.6942797603850659</c:v>
                </c:pt>
                <c:pt idx="57">
                  <c:v>1.695182168527577</c:v>
                </c:pt>
                <c:pt idx="58">
                  <c:v>1.6960890312197898</c:v>
                </c:pt>
                <c:pt idx="59">
                  <c:v>1.6970001718799472</c:v>
                </c:pt>
                <c:pt idx="60">
                  <c:v>1.6979154145527078</c:v>
                </c:pt>
                <c:pt idx="61">
                  <c:v>1.6988345838440688</c:v>
                </c:pt>
                <c:pt idx="62">
                  <c:v>1.6997575048557574</c:v>
                </c:pt>
                <c:pt idx="63">
                  <c:v>1.7006840031189545</c:v>
                </c:pt>
                <c:pt idx="64">
                  <c:v>1.7016139045272534</c:v>
                </c:pt>
                <c:pt idx="65">
                  <c:v>1.7025470352687682</c:v>
                </c:pt>
                <c:pt idx="66">
                  <c:v>1.7034832217571811</c:v>
                </c:pt>
                <c:pt idx="67">
                  <c:v>1.704422290561689</c:v>
                </c:pt>
                <c:pt idx="68">
                  <c:v>1.705364068335655</c:v>
                </c:pt>
                <c:pt idx="69">
                  <c:v>1.7063083817438551</c:v>
                </c:pt>
                <c:pt idx="70">
                  <c:v>1.7072550573881493</c:v>
                </c:pt>
                <c:pt idx="71">
                  <c:v>1.7082039217314593</c:v>
                </c:pt>
                <c:pt idx="72">
                  <c:v>1.7091548010198139</c:v>
                </c:pt>
                <c:pt idx="73">
                  <c:v>1.7101075212024159</c:v>
                </c:pt>
                <c:pt idx="74">
                  <c:v>1.7110619078494105</c:v>
                </c:pt>
                <c:pt idx="75">
                  <c:v>1.7120177860672829</c:v>
                </c:pt>
                <c:pt idx="76">
                  <c:v>1.7129749804115992</c:v>
                </c:pt>
                <c:pt idx="77">
                  <c:v>1.7139333147969542</c:v>
                </c:pt>
                <c:pt idx="78">
                  <c:v>1.7148926124038433</c:v>
                </c:pt>
                <c:pt idx="79">
                  <c:v>1.7158526955822551</c:v>
                </c:pt>
                <c:pt idx="80">
                  <c:v>1.7168133857517289</c:v>
                </c:pt>
                <c:pt idx="81">
                  <c:v>1.7177745032976084</c:v>
                </c:pt>
                <c:pt idx="82">
                  <c:v>1.7187358674632081</c:v>
                </c:pt>
                <c:pt idx="83">
                  <c:v>1.7196972962375918</c:v>
                </c:pt>
                <c:pt idx="84">
                  <c:v>1.7206586062386469</c:v>
                </c:pt>
                <c:pt idx="85">
                  <c:v>1.7216196125911021</c:v>
                </c:pt>
                <c:pt idx="86">
                  <c:v>1.722580128799128</c:v>
                </c:pt>
                <c:pt idx="87">
                  <c:v>1.7235399666131064</c:v>
                </c:pt>
                <c:pt idx="88">
                  <c:v>1.724498935890193</c:v>
                </c:pt>
                <c:pt idx="89">
                  <c:v>1.7254568444481568</c:v>
                </c:pt>
                <c:pt idx="90">
                  <c:v>1.7264134979120469</c:v>
                </c:pt>
                <c:pt idx="91">
                  <c:v>1.7273686995531607</c:v>
                </c:pt>
                <c:pt idx="92">
                  <c:v>1.728322250119714</c:v>
                </c:pt>
                <c:pt idx="93">
                  <c:v>1.7292739476586212</c:v>
                </c:pt>
                <c:pt idx="94">
                  <c:v>1.730223587327725</c:v>
                </c:pt>
                <c:pt idx="95">
                  <c:v>1.731170961197753</c:v>
                </c:pt>
                <c:pt idx="96">
                  <c:v>1.7321158580431726</c:v>
                </c:pt>
                <c:pt idx="97">
                  <c:v>1.7330580631211836</c:v>
                </c:pt>
                <c:pt idx="98">
                  <c:v>1.7339973579378622</c:v>
                </c:pt>
                <c:pt idx="99">
                  <c:v>1.7349335200004468</c:v>
                </c:pt>
                <c:pt idx="100">
                  <c:v>1.7358663225547182</c:v>
                </c:pt>
                <c:pt idx="101">
                  <c:v>1.7367955343062329</c:v>
                </c:pt>
                <c:pt idx="102">
                  <c:v>1.7377209191241314</c:v>
                </c:pt>
                <c:pt idx="103">
                  <c:v>1.7386422357260671</c:v>
                </c:pt>
                <c:pt idx="104">
                  <c:v>1.7395592373426985</c:v>
                </c:pt>
                <c:pt idx="105">
                  <c:v>1.7404716713600368</c:v>
                </c:pt>
                <c:pt idx="106">
                  <c:v>1.7413792789377101</c:v>
                </c:pt>
                <c:pt idx="107">
                  <c:v>1.7422817946011251</c:v>
                </c:pt>
                <c:pt idx="108">
                  <c:v>1.7431789458051548</c:v>
                </c:pt>
                <c:pt idx="109">
                  <c:v>1.7440704524668853</c:v>
                </c:pt>
                <c:pt idx="110">
                  <c:v>1.7449560264645556</c:v>
                </c:pt>
                <c:pt idx="111">
                  <c:v>1.7458353710996113</c:v>
                </c:pt>
                <c:pt idx="112">
                  <c:v>1.7467081805184232</c:v>
                </c:pt>
                <c:pt idx="113">
                  <c:v>1.7475741390898309</c:v>
                </c:pt>
                <c:pt idx="114">
                  <c:v>1.7484329207342262</c:v>
                </c:pt>
                <c:pt idx="115">
                  <c:v>1.7492841881994499</c:v>
                </c:pt>
                <c:pt idx="116">
                  <c:v>1.7501275922781536</c:v>
                </c:pt>
                <c:pt idx="117">
                  <c:v>1.7509627709606992</c:v>
                </c:pt>
                <c:pt idx="118">
                  <c:v>1.7517893485169154</c:v>
                </c:pt>
                <c:pt idx="119">
                  <c:v>1.7526069344992359</c:v>
                </c:pt>
                <c:pt idx="120">
                  <c:v>1.7534151226588177</c:v>
                </c:pt>
                <c:pt idx="121">
                  <c:v>1.7542134897652399</c:v>
                </c:pt>
                <c:pt idx="122">
                  <c:v>1.7550015943191661</c:v>
                </c:pt>
                <c:pt idx="123">
                  <c:v>1.7557789751461383</c:v>
                </c:pt>
                <c:pt idx="124">
                  <c:v>1.7565451498582385</c:v>
                </c:pt>
                <c:pt idx="125">
                  <c:v>1.7572996131687051</c:v>
                </c:pt>
                <c:pt idx="126">
                  <c:v>1.7580418350428564</c:v>
                </c:pt>
                <c:pt idx="127">
                  <c:v>1.7587712586662669</c:v>
                </c:pt>
                <c:pt idx="128">
                  <c:v>1.7594872982082534</c:v>
                </c:pt>
                <c:pt idx="129">
                  <c:v>1.7601893363544556</c:v>
                </c:pt>
                <c:pt idx="130">
                  <c:v>1.7608767215760766</c:v>
                </c:pt>
                <c:pt idx="131">
                  <c:v>1.7615487650941888</c:v>
                </c:pt>
                <c:pt idx="132">
                  <c:v>1.7622047374845244</c:v>
                </c:pt>
                <c:pt idx="133">
                  <c:v>1.7628438648499487</c:v>
                </c:pt>
                <c:pt idx="134">
                  <c:v>1.7634653244648049</c:v>
                </c:pt>
                <c:pt idx="135">
                  <c:v>1.7640682397675505</c:v>
                </c:pt>
                <c:pt idx="136">
                  <c:v>1.7646516745479568</c:v>
                </c:pt>
                <c:pt idx="137">
                  <c:v>1.7652146261469577</c:v>
                </c:pt>
                <c:pt idx="138">
                  <c:v>1.7657560174656679</c:v>
                </c:pt>
                <c:pt idx="139">
                  <c:v>1.7662746875714537</c:v>
                </c:pt>
                <c:pt idx="140">
                  <c:v>1.7667693806980937</c:v>
                </c:pt>
                <c:pt idx="141">
                  <c:v>1.7672387334647712</c:v>
                </c:pt>
                <c:pt idx="142">
                  <c:v>1.7676812601809901</c:v>
                </c:pt>
                <c:pt idx="143">
                  <c:v>1.7680953361498066</c:v>
                </c:pt>
                <c:pt idx="144">
                  <c:v>1.7684791789098238</c:v>
                </c:pt>
                <c:pt idx="145">
                  <c:v>1.7688308273418327</c:v>
                </c:pt>
                <c:pt idx="146">
                  <c:v>1.7691481184787161</c:v>
                </c:pt>
                <c:pt idx="147">
                  <c:v>1.7694286616694892</c:v>
                </c:pt>
                <c:pt idx="148">
                  <c:v>1.7696698094366874</c:v>
                </c:pt>
                <c:pt idx="149">
                  <c:v>1.7698686239170633</c:v>
                </c:pt>
                <c:pt idx="150">
                  <c:v>1.7700218371805971</c:v>
                </c:pt>
                <c:pt idx="151">
                  <c:v>1.7701258029780507</c:v>
                </c:pt>
                <c:pt idx="152">
                  <c:v>1.7701764365576933</c:v>
                </c:pt>
                <c:pt idx="153">
                  <c:v>1.7701691380767315</c:v>
                </c:pt>
                <c:pt idx="154">
                  <c:v>1.7700986937197374</c:v>
                </c:pt>
                <c:pt idx="155">
                  <c:v>1.7699591467473268</c:v>
                </c:pt>
                <c:pt idx="156">
                  <c:v>1.7697436280201586</c:v>
                </c:pt>
                <c:pt idx="157">
                  <c:v>1.7694441315437464</c:v>
                </c:pt>
                <c:pt idx="158">
                  <c:v>1.7690512143653641</c:v>
                </c:pt>
                <c:pt idx="159">
                  <c:v>1.7685535901943696</c:v>
                </c:pt>
                <c:pt idx="160">
                  <c:v>1.7679375697049828</c:v>
                </c:pt>
                <c:pt idx="161">
                  <c:v>1.7671862726203471</c:v>
                </c:pt>
                <c:pt idx="162">
                  <c:v>1.7662784876769206</c:v>
                </c:pt>
                <c:pt idx="163">
                  <c:v>1.765186966559668</c:v>
                </c:pt>
                <c:pt idx="164">
                  <c:v>1.7638757634391622</c:v>
                </c:pt>
                <c:pt idx="165">
                  <c:v>1.76229587040867</c:v>
                </c:pt>
                <c:pt idx="166">
                  <c:v>1.7603775860053774</c:v>
                </c:pt>
                <c:pt idx="167">
                  <c:v>1.7580160188849403</c:v>
                </c:pt>
                <c:pt idx="168">
                  <c:v>1.7550402575425406</c:v>
                </c:pt>
                <c:pt idx="169">
                  <c:v>1.7511359975266469</c:v>
                </c:pt>
                <c:pt idx="170">
                  <c:v>1.745590146299286</c:v>
                </c:pt>
                <c:pt idx="171">
                  <c:v>1.7357403613306401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BASIC!$AE$3:$AE$230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C79D-4B9D-9E96-AF39BCA45E13}"/>
            </c:ext>
          </c:extLst>
        </c:ser>
        <c:ser>
          <c:idx val="21"/>
          <c:order val="32"/>
          <c:marker>
            <c:symbol val="none"/>
          </c:marker>
          <c:xVal>
            <c:numRef>
              <c:f>BASIC!$U$26:$U$27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xVal>
          <c:yVal>
            <c:numRef>
              <c:f>BASIC!$V$26:$V$27</c:f>
              <c:numCache>
                <c:formatCode>General</c:formatCode>
                <c:ptCount val="2"/>
                <c:pt idx="0">
                  <c:v>403.15</c:v>
                </c:pt>
                <c:pt idx="1">
                  <c:v>403.15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6-C79D-4B9D-9E96-AF39BCA45E13}"/>
            </c:ext>
          </c:extLst>
        </c:ser>
        <c:ser>
          <c:idx val="4"/>
          <c:order val="33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BASIC!$X$3:$X$230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8-C79D-4B9D-9E96-AF39BCA45E13}"/>
            </c:ext>
          </c:extLst>
        </c:ser>
        <c:ser>
          <c:idx val="5"/>
          <c:order val="34"/>
          <c:marker>
            <c:symbol val="none"/>
          </c:marker>
          <c:xVal>
            <c:numRef>
              <c:f>BASIC!$W$3:$W$230</c:f>
              <c:numCache>
                <c:formatCode>General</c:formatCode>
                <c:ptCount val="228"/>
                <c:pt idx="0">
                  <c:v>0.99935383812074075</c:v>
                </c:pt>
                <c:pt idx="1">
                  <c:v>1.0036571124029343</c:v>
                </c:pt>
                <c:pt idx="2">
                  <c:v>1.007949921588732</c:v>
                </c:pt>
                <c:pt idx="3">
                  <c:v>1.0122323565496221</c:v>
                </c:pt>
                <c:pt idx="4">
                  <c:v>1.0165045076500987</c:v>
                </c:pt>
                <c:pt idx="5">
                  <c:v>1.0207664647681178</c:v>
                </c:pt>
                <c:pt idx="6">
                  <c:v>1.025018317315169</c:v>
                </c:pt>
                <c:pt idx="7">
                  <c:v>1.0292601542559727</c:v>
                </c:pt>
                <c:pt idx="8">
                  <c:v>1.0334920641278504</c:v>
                </c:pt>
                <c:pt idx="9">
                  <c:v>1.0377141350597896</c:v>
                </c:pt>
                <c:pt idx="10">
                  <c:v>1.0419264547912337</c:v>
                </c:pt>
                <c:pt idx="11">
                  <c:v>1.0461291106906001</c:v>
                </c:pt>
                <c:pt idx="12">
                  <c:v>1.0503221897736099</c:v>
                </c:pt>
                <c:pt idx="13">
                  <c:v>1.0545057787213796</c:v>
                </c:pt>
                <c:pt idx="14">
                  <c:v>1.0586799638983757</c:v>
                </c:pt>
                <c:pt idx="15">
                  <c:v>1.0628448313701864</c:v>
                </c:pt>
                <c:pt idx="16">
                  <c:v>1.0670004669212028</c:v>
                </c:pt>
                <c:pt idx="17">
                  <c:v>1.0711469560721758</c:v>
                </c:pt>
                <c:pt idx="18">
                  <c:v>1.0752843840977115</c:v>
                </c:pt>
                <c:pt idx="19">
                  <c:v>1.0794128360437187</c:v>
                </c:pt>
                <c:pt idx="20">
                  <c:v>1.0835323967448098</c:v>
                </c:pt>
                <c:pt idx="21">
                  <c:v>1.0876431508417204</c:v>
                </c:pt>
                <c:pt idx="22">
                  <c:v>1.0917451827987306</c:v>
                </c:pt>
                <c:pt idx="23">
                  <c:v>1.0958385769211378</c:v>
                </c:pt>
                <c:pt idx="24">
                  <c:v>1.0999234173727939</c:v>
                </c:pt>
                <c:pt idx="25">
                  <c:v>1.1039997881937191</c:v>
                </c:pt>
                <c:pt idx="26">
                  <c:v>1.1080677733178383</c:v>
                </c:pt>
                <c:pt idx="27">
                  <c:v>1.112127456590849</c:v>
                </c:pt>
                <c:pt idx="28">
                  <c:v>1.1161789217882361</c:v>
                </c:pt>
                <c:pt idx="29">
                  <c:v>1.1202222526334802</c:v>
                </c:pt>
                <c:pt idx="30">
                  <c:v>1.1242575328164468</c:v>
                </c:pt>
                <c:pt idx="31">
                  <c:v>1.1282848460120287</c:v>
                </c:pt>
                <c:pt idx="32">
                  <c:v>1.1323042758990149</c:v>
                </c:pt>
                <c:pt idx="33">
                  <c:v>1.1363159061792447</c:v>
                </c:pt>
                <c:pt idx="34">
                  <c:v>1.1403198205970508</c:v>
                </c:pt>
                <c:pt idx="35">
                  <c:v>1.1443161029590414</c:v>
                </c:pt>
                <c:pt idx="36">
                  <c:v>1.1483048371542033</c:v>
                </c:pt>
                <c:pt idx="37">
                  <c:v>1.152286107174415</c:v>
                </c:pt>
                <c:pt idx="38">
                  <c:v>1.1562599971353227</c:v>
                </c:pt>
                <c:pt idx="39">
                  <c:v>1.1602265912976704</c:v>
                </c:pt>
                <c:pt idx="40">
                  <c:v>1.1641859740890776</c:v>
                </c:pt>
                <c:pt idx="41">
                  <c:v>1.1681382301262944</c:v>
                </c:pt>
                <c:pt idx="42">
                  <c:v>1.1720834442379842</c:v>
                </c:pt>
                <c:pt idx="43">
                  <c:v>1.1760217014880414</c:v>
                </c:pt>
                <c:pt idx="44">
                  <c:v>1.1799530871994934</c:v>
                </c:pt>
                <c:pt idx="45">
                  <c:v>1.1838776869789995</c:v>
                </c:pt>
                <c:pt idx="46">
                  <c:v>1.1877955867420156</c:v>
                </c:pt>
                <c:pt idx="47">
                  <c:v>1.1917068727386215</c:v>
                </c:pt>
                <c:pt idx="48">
                  <c:v>1.1956116315800682</c:v>
                </c:pt>
                <c:pt idx="49">
                  <c:v>1.1995099502660949</c:v>
                </c:pt>
                <c:pt idx="50">
                  <c:v>1.2034019162130283</c:v>
                </c:pt>
                <c:pt idx="51">
                  <c:v>1.2072876172827212</c:v>
                </c:pt>
                <c:pt idx="52">
                  <c:v>1.2111671418124004</c:v>
                </c:pt>
                <c:pt idx="53">
                  <c:v>1.2150405786454082</c:v>
                </c:pt>
                <c:pt idx="54">
                  <c:v>1.2189080171629554</c:v>
                </c:pt>
                <c:pt idx="55">
                  <c:v>1.2227695473168991</c:v>
                </c:pt>
                <c:pt idx="56">
                  <c:v>1.2266252596635954</c:v>
                </c:pt>
                <c:pt idx="57">
                  <c:v>1.2304752453989167</c:v>
                </c:pt>
                <c:pt idx="58">
                  <c:v>1.2343195963944575</c:v>
                </c:pt>
                <c:pt idx="59">
                  <c:v>1.2381584052350196</c:v>
                </c:pt>
                <c:pt idx="60">
                  <c:v>1.2419917652574359</c:v>
                </c:pt>
                <c:pt idx="61">
                  <c:v>1.2458197705907987</c:v>
                </c:pt>
                <c:pt idx="62">
                  <c:v>1.2496425161981703</c:v>
                </c:pt>
                <c:pt idx="63">
                  <c:v>1.253460097919872</c:v>
                </c:pt>
                <c:pt idx="64">
                  <c:v>1.2572726125184119</c:v>
                </c:pt>
                <c:pt idx="65">
                  <c:v>1.2610801577251685</c:v>
                </c:pt>
                <c:pt idx="66">
                  <c:v>1.2648828322888912</c:v>
                </c:pt>
                <c:pt idx="67">
                  <c:v>1.2686807360261754</c:v>
                </c:pt>
                <c:pt idx="68">
                  <c:v>1.2724739698739582</c:v>
                </c:pt>
                <c:pt idx="69">
                  <c:v>1.276262635944196</c:v>
                </c:pt>
                <c:pt idx="70">
                  <c:v>1.2800468375808449</c:v>
                </c:pt>
                <c:pt idx="71">
                  <c:v>1.2838266794192421</c:v>
                </c:pt>
                <c:pt idx="72">
                  <c:v>1.2876022674480709</c:v>
                </c:pt>
                <c:pt idx="73">
                  <c:v>1.2913737090740509</c:v>
                </c:pt>
                <c:pt idx="74">
                  <c:v>1.295141113189485</c:v>
                </c:pt>
                <c:pt idx="75">
                  <c:v>1.2989045902428917</c:v>
                </c:pt>
                <c:pt idx="76">
                  <c:v>1.3026642523128524</c:v>
                </c:pt>
                <c:pt idx="77">
                  <c:v>1.3064202131853251</c:v>
                </c:pt>
                <c:pt idx="78">
                  <c:v>1.3101725884345881</c:v>
                </c:pt>
                <c:pt idx="79">
                  <c:v>1.313921495508096</c:v>
                </c:pt>
                <c:pt idx="80">
                  <c:v>1.3176670538154613</c:v>
                </c:pt>
                <c:pt idx="81">
                  <c:v>1.3214093848218289</c:v>
                </c:pt>
                <c:pt idx="82">
                  <c:v>1.3251486121459628</c:v>
                </c:pt>
                <c:pt idx="83">
                  <c:v>1.3288848616633187</c:v>
                </c:pt>
                <c:pt idx="84">
                  <c:v>1.3326182616144591</c:v>
                </c:pt>
                <c:pt idx="85">
                  <c:v>1.3363489427191748</c:v>
                </c:pt>
                <c:pt idx="86">
                  <c:v>1.3400770382966898</c:v>
                </c:pt>
                <c:pt idx="87">
                  <c:v>1.3438026843923925</c:v>
                </c:pt>
                <c:pt idx="88">
                  <c:v>1.3475260199115398</c:v>
                </c:pt>
                <c:pt idx="89">
                  <c:v>1.3512471867604432</c:v>
                </c:pt>
                <c:pt idx="90">
                  <c:v>1.3549663299956802</c:v>
                </c:pt>
                <c:pt idx="91">
                  <c:v>1.3586835979819074</c:v>
                </c:pt>
                <c:pt idx="92">
                  <c:v>1.3623991425589403</c:v>
                </c:pt>
                <c:pt idx="93">
                  <c:v>1.366113119218791</c:v>
                </c:pt>
                <c:pt idx="94">
                  <c:v>1.3698256872934167</c:v>
                </c:pt>
                <c:pt idx="95">
                  <c:v>1.3735370101540452</c:v>
                </c:pt>
                <c:pt idx="96">
                  <c:v>1.3772472554229509</c:v>
                </c:pt>
                <c:pt idx="97">
                  <c:v>1.3809565951987335</c:v>
                </c:pt>
                <c:pt idx="98">
                  <c:v>1.3846652062961544</c:v>
                </c:pt>
                <c:pt idx="99">
                  <c:v>1.3883732705017666</c:v>
                </c:pt>
                <c:pt idx="100">
                  <c:v>1.3920809748466492</c:v>
                </c:pt>
                <c:pt idx="101">
                  <c:v>1.395788511897728</c:v>
                </c:pt>
                <c:pt idx="102">
                  <c:v>1.3994960800692851</c:v>
                </c:pt>
                <c:pt idx="103">
                  <c:v>1.4032038839564369</c:v>
                </c:pt>
                <c:pt idx="104">
                  <c:v>1.4069121346925726</c:v>
                </c:pt>
                <c:pt idx="105">
                  <c:v>1.4106210503329268</c:v>
                </c:pt>
                <c:pt idx="106">
                  <c:v>1.4143308562667165</c:v>
                </c:pt>
                <c:pt idx="107">
                  <c:v>1.4180417856605523</c:v>
                </c:pt>
                <c:pt idx="108">
                  <c:v>1.421754079936125</c:v>
                </c:pt>
                <c:pt idx="109">
                  <c:v>1.4254679892855344</c:v>
                </c:pt>
                <c:pt idx="110">
                  <c:v>1.4291837732280082</c:v>
                </c:pt>
                <c:pt idx="111">
                  <c:v>1.4329017012122216</c:v>
                </c:pt>
                <c:pt idx="112">
                  <c:v>1.4366220532689484</c:v>
                </c:pt>
                <c:pt idx="113">
                  <c:v>1.4403451207193387</c:v>
                </c:pt>
                <c:pt idx="114">
                  <c:v>1.4440712069448318</c:v>
                </c:pt>
                <c:pt idx="115">
                  <c:v>1.4478006282254461</c:v>
                </c:pt>
                <c:pt idx="116">
                  <c:v>1.4515337146541378</c:v>
                </c:pt>
                <c:pt idx="117">
                  <c:v>1.4552708111358765</c:v>
                </c:pt>
                <c:pt idx="118">
                  <c:v>1.4590122784813726</c:v>
                </c:pt>
                <c:pt idx="119">
                  <c:v>1.4627584946067025</c:v>
                </c:pt>
                <c:pt idx="120">
                  <c:v>1.4665098558517549</c:v>
                </c:pt>
                <c:pt idx="121">
                  <c:v>1.4702667784322663</c:v>
                </c:pt>
                <c:pt idx="122">
                  <c:v>1.4740297000424785</c:v>
                </c:pt>
                <c:pt idx="123">
                  <c:v>1.4777990816280131</c:v>
                </c:pt>
                <c:pt idx="124">
                  <c:v>1.4815754093516875</c:v>
                </c:pt>
                <c:pt idx="125">
                  <c:v>1.4853591967785957</c:v>
                </c:pt>
                <c:pt idx="126">
                  <c:v>1.4891509873111239</c:v>
                </c:pt>
                <c:pt idx="127">
                  <c:v>1.4929513569097939</c:v>
                </c:pt>
                <c:pt idx="128">
                  <c:v>1.4967609171419463</c:v>
                </c:pt>
                <c:pt idx="129">
                  <c:v>1.5005803186077911</c:v>
                </c:pt>
                <c:pt idx="130">
                  <c:v>1.5044102548023932</c:v>
                </c:pt>
                <c:pt idx="131">
                  <c:v>1.5082514664830589</c:v>
                </c:pt>
                <c:pt idx="132">
                  <c:v>1.5121047466250273</c:v>
                </c:pt>
                <c:pt idx="133">
                  <c:v>1.5159709460647892</c:v>
                </c:pt>
                <c:pt idx="134">
                  <c:v>1.5198509799506008</c:v>
                </c:pt>
                <c:pt idx="135">
                  <c:v>1.5237458351449489</c:v>
                </c:pt>
                <c:pt idx="136">
                  <c:v>1.5276565787551482</c:v>
                </c:pt>
                <c:pt idx="137">
                  <c:v>1.5315843680077781</c:v>
                </c:pt>
                <c:pt idx="138">
                  <c:v>1.5355304617326928</c:v>
                </c:pt>
                <c:pt idx="139">
                  <c:v>1.5394962337861589</c:v>
                </c:pt>
                <c:pt idx="140">
                  <c:v>1.5434831888247296</c:v>
                </c:pt>
                <c:pt idx="141">
                  <c:v>1.5474929809478202</c:v>
                </c:pt>
                <c:pt idx="142">
                  <c:v>1.5515274358660895</c:v>
                </c:pt>
                <c:pt idx="143">
                  <c:v>1.5555885774365181</c:v>
                </c:pt>
                <c:pt idx="144">
                  <c:v>1.5596786596503731</c:v>
                </c:pt>
                <c:pt idx="145">
                  <c:v>1.5638002054912665</c:v>
                </c:pt>
                <c:pt idx="146">
                  <c:v>1.5679560545327833</c:v>
                </c:pt>
                <c:pt idx="147">
                  <c:v>1.5721494217710987</c:v>
                </c:pt>
                <c:pt idx="148">
                  <c:v>1.5763839710668965</c:v>
                </c:pt>
                <c:pt idx="149">
                  <c:v>1.5806639078244011</c:v>
                </c:pt>
                <c:pt idx="150">
                  <c:v>1.5849940973538441</c:v>
                </c:pt>
                <c:pt idx="151">
                  <c:v>1.5893802180526375</c:v>
                </c:pt>
                <c:pt idx="152">
                  <c:v>1.5938289626003692</c:v>
                </c:pt>
                <c:pt idx="153">
                  <c:v>1.5983483066377104</c:v>
                </c:pt>
                <c:pt idx="154">
                  <c:v>1.6029478743559193</c:v>
                </c:pt>
                <c:pt idx="155">
                  <c:v>1.6076394466979418</c:v>
                </c:pt>
                <c:pt idx="156">
                  <c:v>1.612437685389551</c:v>
                </c:pt>
                <c:pt idx="157">
                  <c:v>1.6173611943994382</c:v>
                </c:pt>
                <c:pt idx="158">
                  <c:v>1.6224341294517362</c:v>
                </c:pt>
                <c:pt idx="159">
                  <c:v>1.6276887390978472</c:v>
                </c:pt>
                <c:pt idx="160">
                  <c:v>1.6331695790984819</c:v>
                </c:pt>
                <c:pt idx="161">
                  <c:v>1.6389409459654878</c:v>
                </c:pt>
                <c:pt idx="162">
                  <c:v>1.6451010727956192</c:v>
                </c:pt>
                <c:pt idx="163">
                  <c:v>1.6518123014955362</c:v>
                </c:pt>
                <c:pt idx="164">
                  <c:v>1.6593758699874803</c:v>
                </c:pt>
                <c:pt idx="165">
                  <c:v>1.6684690487033711</c:v>
                </c:pt>
                <c:pt idx="166">
                  <c:v>1.6813913222963466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A-C79D-4B9D-9E96-AF39BCA45E13}"/>
            </c:ext>
          </c:extLst>
        </c:ser>
        <c:ser>
          <c:idx val="6"/>
          <c:order val="35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BASIC!$X$3:$X$230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C-C79D-4B9D-9E96-AF39BCA45E13}"/>
            </c:ext>
          </c:extLst>
        </c:ser>
        <c:ser>
          <c:idx val="7"/>
          <c:order val="36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BASIC!$Z$3:$Z$230</c:f>
              <c:numCache>
                <c:formatCode>General</c:formatCode>
                <c:ptCount val="228"/>
                <c:pt idx="0">
                  <c:v>0.99933750805296717</c:v>
                </c:pt>
                <c:pt idx="1">
                  <c:v>1.0037510542113219</c:v>
                </c:pt>
                <c:pt idx="2">
                  <c:v>1.0081574469674501</c:v>
                </c:pt>
                <c:pt idx="3">
                  <c:v>1.0125567870077967</c:v>
                </c:pt>
                <c:pt idx="4">
                  <c:v>1.0169491737748657</c:v>
                </c:pt>
                <c:pt idx="5">
                  <c:v>1.0213347055045445</c:v>
                </c:pt>
                <c:pt idx="6">
                  <c:v>1.0257134792633278</c:v>
                </c:pt>
                <c:pt idx="7">
                  <c:v>1.0300855909854609</c:v>
                </c:pt>
                <c:pt idx="8">
                  <c:v>1.0344511355099792</c:v>
                </c:pt>
                <c:pt idx="9">
                  <c:v>1.0388102066177529</c:v>
                </c:pt>
                <c:pt idx="10">
                  <c:v>1.0431628970684736</c:v>
                </c:pt>
                <c:pt idx="11">
                  <c:v>1.0475092986376662</c:v>
                </c:pt>
                <c:pt idx="12">
                  <c:v>1.0518495021537271</c:v>
                </c:pt>
                <c:pt idx="13">
                  <c:v>1.05618359753503</c:v>
                </c:pt>
                <c:pt idx="14">
                  <c:v>1.0605116738271241</c:v>
                </c:pt>
                <c:pt idx="15">
                  <c:v>1.064833819240022</c:v>
                </c:pt>
                <c:pt idx="16">
                  <c:v>1.0691501211856773</c:v>
                </c:pt>
                <c:pt idx="17">
                  <c:v>1.0734606663155966</c:v>
                </c:pt>
                <c:pt idx="18">
                  <c:v>1.0777655405586797</c:v>
                </c:pt>
                <c:pt idx="19">
                  <c:v>1.0820648291592987</c:v>
                </c:pt>
                <c:pt idx="20">
                  <c:v>1.0863586167156289</c:v>
                </c:pt>
                <c:pt idx="21">
                  <c:v>1.0906469872183091</c:v>
                </c:pt>
                <c:pt idx="22">
                  <c:v>1.0949300240894224</c:v>
                </c:pt>
                <c:pt idx="23">
                  <c:v>1.0992078102218528</c:v>
                </c:pt>
                <c:pt idx="24">
                  <c:v>1.1034804280190529</c:v>
                </c:pt>
                <c:pt idx="25">
                  <c:v>1.1077479594352693</c:v>
                </c:pt>
                <c:pt idx="26">
                  <c:v>1.1120104860162356</c:v>
                </c:pt>
                <c:pt idx="27">
                  <c:v>1.1162680889404064</c:v>
                </c:pt>
                <c:pt idx="28">
                  <c:v>1.1205208490607623</c:v>
                </c:pt>
                <c:pt idx="29">
                  <c:v>1.1247688469472064</c:v>
                </c:pt>
                <c:pt idx="30">
                  <c:v>1.1290121629296466</c:v>
                </c:pt>
                <c:pt idx="31">
                  <c:v>1.133250877141752</c:v>
                </c:pt>
                <c:pt idx="32">
                  <c:v>1.1374850695654841</c:v>
                </c:pt>
                <c:pt idx="33">
                  <c:v>1.1417148200764151</c:v>
                </c:pt>
                <c:pt idx="34">
                  <c:v>1.1459402084899097</c:v>
                </c:pt>
                <c:pt idx="35">
                  <c:v>1.1501613146081937</c:v>
                </c:pt>
                <c:pt idx="36">
                  <c:v>1.154378218268423</c:v>
                </c:pt>
                <c:pt idx="37">
                  <c:v>1.1585909993917445</c:v>
                </c:pt>
                <c:pt idx="38">
                  <c:v>1.1627997380334603</c:v>
                </c:pt>
                <c:pt idx="39">
                  <c:v>1.1670045144343353</c:v>
                </c:pt>
                <c:pt idx="40">
                  <c:v>1.1712054090731281</c:v>
                </c:pt>
                <c:pt idx="41">
                  <c:v>1.1754025027204051</c:v>
                </c:pt>
                <c:pt idx="42">
                  <c:v>1.17959587649373</c:v>
                </c:pt>
                <c:pt idx="43">
                  <c:v>1.1837856119142895</c:v>
                </c:pt>
                <c:pt idx="44">
                  <c:v>1.187971790965038</c:v>
                </c:pt>
                <c:pt idx="45">
                  <c:v>1.19215449615047</c:v>
                </c:pt>
                <c:pt idx="46">
                  <c:v>1.1963338105580916</c:v>
                </c:pt>
                <c:pt idx="47">
                  <c:v>1.2005098179216789</c:v>
                </c:pt>
                <c:pt idx="48">
                  <c:v>1.2046826026864579</c:v>
                </c:pt>
                <c:pt idx="49">
                  <c:v>1.2088522500762893</c:v>
                </c:pt>
                <c:pt idx="50">
                  <c:v>1.2130188461629825</c:v>
                </c:pt>
                <c:pt idx="51">
                  <c:v>1.217182477937832</c:v>
                </c:pt>
                <c:pt idx="52">
                  <c:v>1.221343233385572</c:v>
                </c:pt>
                <c:pt idx="53">
                  <c:v>1.2255012015607956</c:v>
                </c:pt>
                <c:pt idx="54">
                  <c:v>1.2296564726670625</c:v>
                </c:pt>
                <c:pt idx="55">
                  <c:v>1.2338091381388054</c:v>
                </c:pt>
                <c:pt idx="56">
                  <c:v>1.2379592907261943</c:v>
                </c:pt>
                <c:pt idx="57">
                  <c:v>1.242107024583182</c:v>
                </c:pt>
                <c:pt idx="58">
                  <c:v>1.2462524353588489</c:v>
                </c:pt>
                <c:pt idx="59">
                  <c:v>1.2503956202922966</c:v>
                </c:pt>
                <c:pt idx="60">
                  <c:v>1.2545366783112912</c:v>
                </c:pt>
                <c:pt idx="61">
                  <c:v>1.2586757101348618</c:v>
                </c:pt>
                <c:pt idx="62">
                  <c:v>1.2628128183801235</c:v>
                </c:pt>
                <c:pt idx="63">
                  <c:v>1.2669481076735805</c:v>
                </c:pt>
                <c:pt idx="64">
                  <c:v>1.271081684767166</c:v>
                </c:pt>
                <c:pt idx="65">
                  <c:v>1.2752136586593468</c:v>
                </c:pt>
                <c:pt idx="66">
                  <c:v>1.2793441407216029</c:v>
                </c:pt>
                <c:pt idx="67">
                  <c:v>1.2834732448306192</c:v>
                </c:pt>
                <c:pt idx="68">
                  <c:v>1.2876010875065846</c:v>
                </c:pt>
                <c:pt idx="69">
                  <c:v>1.2917277880579654</c:v>
                </c:pt>
                <c:pt idx="70">
                  <c:v>1.2958534687332248</c:v>
                </c:pt>
                <c:pt idx="71">
                  <c:v>1.2999782548799286</c:v>
                </c:pt>
                <c:pt idx="72">
                  <c:v>1.3041022751117388</c:v>
                </c:pt>
                <c:pt idx="73">
                  <c:v>1.3082256614838801</c:v>
                </c:pt>
                <c:pt idx="74">
                  <c:v>1.3123485496776166</c:v>
                </c:pt>
                <c:pt idx="75">
                  <c:v>1.3164710791944119</c:v>
                </c:pt>
                <c:pt idx="76">
                  <c:v>1.3205933935604801</c:v>
                </c:pt>
                <c:pt idx="77">
                  <c:v>1.3247156405424407</c:v>
                </c:pt>
                <c:pt idx="78">
                  <c:v>1.3288379723749539</c:v>
                </c:pt>
                <c:pt idx="79">
                  <c:v>1.3329605460011649</c:v>
                </c:pt>
                <c:pt idx="80">
                  <c:v>1.3370835233270275</c:v>
                </c:pt>
                <c:pt idx="81">
                  <c:v>1.3412070714904625</c:v>
                </c:pt>
                <c:pt idx="82">
                  <c:v>1.3453313631466228</c:v>
                </c:pt>
                <c:pt idx="83">
                  <c:v>1.3494565767704481</c:v>
                </c:pt>
                <c:pt idx="84">
                  <c:v>1.3535828969779824</c:v>
                </c:pt>
                <c:pt idx="85">
                  <c:v>1.3577105148679747</c:v>
                </c:pt>
                <c:pt idx="86">
                  <c:v>1.3618396283853733</c:v>
                </c:pt>
                <c:pt idx="87">
                  <c:v>1.3659704427087216</c:v>
                </c:pt>
                <c:pt idx="88">
                  <c:v>1.3701031706633617</c:v>
                </c:pt>
                <c:pt idx="89">
                  <c:v>1.3742380331628019</c:v>
                </c:pt>
                <c:pt idx="90">
                  <c:v>1.3783752596807095</c:v>
                </c:pt>
                <c:pt idx="91">
                  <c:v>1.3825150887563475</c:v>
                </c:pt>
                <c:pt idx="92">
                  <c:v>1.3866577685364865</c:v>
                </c:pt>
                <c:pt idx="93">
                  <c:v>1.3908035573572846</c:v>
                </c:pt>
                <c:pt idx="94">
                  <c:v>1.3949527243699085</c:v>
                </c:pt>
                <c:pt idx="95">
                  <c:v>1.3991055502142247</c:v>
                </c:pt>
                <c:pt idx="96">
                  <c:v>1.4032623277452734</c:v>
                </c:pt>
                <c:pt idx="97">
                  <c:v>1.4074233628179644</c:v>
                </c:pt>
                <c:pt idx="98">
                  <c:v>1.41158897513598</c:v>
                </c:pt>
                <c:pt idx="99">
                  <c:v>1.4157594991716778</c:v>
                </c:pt>
                <c:pt idx="100">
                  <c:v>1.4199352851647091</c:v>
                </c:pt>
                <c:pt idx="101">
                  <c:v>1.4241167002079844</c:v>
                </c:pt>
                <c:pt idx="102">
                  <c:v>1.4283041294308989</c:v>
                </c:pt>
                <c:pt idx="103">
                  <c:v>1.4324979772910107</c:v>
                </c:pt>
                <c:pt idx="104">
                  <c:v>1.4366986689869985</c:v>
                </c:pt>
                <c:pt idx="105">
                  <c:v>1.4409066520075446</c:v>
                </c:pt>
                <c:pt idx="106">
                  <c:v>1.4451223978330272</c:v>
                </c:pt>
                <c:pt idx="107">
                  <c:v>1.4493464038093096</c:v>
                </c:pt>
                <c:pt idx="108">
                  <c:v>1.4535791952161474</c:v>
                </c:pt>
                <c:pt idx="109">
                  <c:v>1.4578213275560674</c:v>
                </c:pt>
                <c:pt idx="110">
                  <c:v>1.4620733890939968</c:v>
                </c:pt>
                <c:pt idx="111">
                  <c:v>1.4663360036828681</c:v>
                </c:pt>
                <c:pt idx="112">
                  <c:v>1.4706098339165528</c:v>
                </c:pt>
                <c:pt idx="113">
                  <c:v>1.4748955846587462</c:v>
                </c:pt>
                <c:pt idx="114">
                  <c:v>1.479194007005306</c:v>
                </c:pt>
                <c:pt idx="115">
                  <c:v>1.4835059027482476</c:v>
                </c:pt>
                <c:pt idx="116">
                  <c:v>1.4878321294227363</c:v>
                </c:pt>
                <c:pt idx="117">
                  <c:v>1.4921736060345696</c:v>
                </c:pt>
                <c:pt idx="118">
                  <c:v>1.4965313195854666</c:v>
                </c:pt>
                <c:pt idx="119">
                  <c:v>1.5009063325383531</c:v>
                </c:pt>
                <c:pt idx="120">
                  <c:v>1.5052997913955839</c:v>
                </c:pt>
                <c:pt idx="121">
                  <c:v>1.5097129366021198</c:v>
                </c:pt>
                <c:pt idx="122">
                  <c:v>1.5141471140349412</c:v>
                </c:pt>
                <c:pt idx="123">
                  <c:v>1.5186037884029813</c:v>
                </c:pt>
                <c:pt idx="124">
                  <c:v>1.5230845589629871</c:v>
                </c:pt>
                <c:pt idx="125">
                  <c:v>1.5275911780620195</c:v>
                </c:pt>
                <c:pt idx="126">
                  <c:v>1.5321255731552805</c:v>
                </c:pt>
                <c:pt idx="127">
                  <c:v>1.5366898731305469</c:v>
                </c:pt>
                <c:pt idx="128">
                  <c:v>1.54128644001469</c:v>
                </c:pt>
                <c:pt idx="129">
                  <c:v>1.545917907468076</c:v>
                </c:pt>
                <c:pt idx="130">
                  <c:v>1.5505872279251893</c:v>
                </c:pt>
                <c:pt idx="131">
                  <c:v>1.5552977308679445</c:v>
                </c:pt>
                <c:pt idx="132">
                  <c:v>1.5600531956033794</c:v>
                </c:pt>
                <c:pt idx="133">
                  <c:v>1.5648579431849183</c:v>
                </c:pt>
                <c:pt idx="134">
                  <c:v>1.5697169539640918</c:v>
                </c:pt>
                <c:pt idx="135">
                  <c:v>1.5746360200067189</c:v>
                </c:pt>
                <c:pt idx="136">
                  <c:v>1.5796219457823408</c:v>
                </c:pt>
                <c:pt idx="137">
                  <c:v>1.5846828170379108</c:v>
                </c:pt>
                <c:pt idx="138">
                  <c:v>1.5898283681782956</c:v>
                </c:pt>
                <c:pt idx="139">
                  <c:v>1.595070495679884</c:v>
                </c:pt>
                <c:pt idx="140">
                  <c:v>1.6004239945354957</c:v>
                </c:pt>
                <c:pt idx="141">
                  <c:v>1.605907647374393</c:v>
                </c:pt>
                <c:pt idx="142">
                  <c:v>1.611545894680219</c:v>
                </c:pt>
                <c:pt idx="143">
                  <c:v>1.6173715110634725</c:v>
                </c:pt>
                <c:pt idx="144">
                  <c:v>1.6234301325014291</c:v>
                </c:pt>
                <c:pt idx="145">
                  <c:v>1.6297884603721666</c:v>
                </c:pt>
                <c:pt idx="146">
                  <c:v>1.6365505380110905</c:v>
                </c:pt>
                <c:pt idx="147">
                  <c:v>1.6438943589045163</c:v>
                </c:pt>
                <c:pt idx="148">
                  <c:v>1.6521712238741983</c:v>
                </c:pt>
                <c:pt idx="149">
                  <c:v>1.6622788867183871</c:v>
                </c:pt>
                <c:pt idx="150">
                  <c:v>1.6789542324713218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E-C79D-4B9D-9E96-AF39BCA45E13}"/>
            </c:ext>
          </c:extLst>
        </c:ser>
        <c:ser>
          <c:idx val="2"/>
          <c:order val="37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BASIC!$AG$3:$AG$230</c:f>
              <c:numCache>
                <c:formatCode>General</c:formatCode>
                <c:ptCount val="228"/>
                <c:pt idx="0">
                  <c:v>1.7980034610763109</c:v>
                </c:pt>
                <c:pt idx="1">
                  <c:v>1.7974937299322786</c:v>
                </c:pt>
                <c:pt idx="2">
                  <c:v>1.7970018120329081</c:v>
                </c:pt>
                <c:pt idx="3">
                  <c:v>1.7965273582789791</c:v>
                </c:pt>
                <c:pt idx="4">
                  <c:v>1.796070023839893</c:v>
                </c:pt>
                <c:pt idx="5">
                  <c:v>1.795629468024516</c:v>
                </c:pt>
                <c:pt idx="6">
                  <c:v>1.795205354153552</c:v>
                </c:pt>
                <c:pt idx="7">
                  <c:v>1.7947973494333396</c:v>
                </c:pt>
                <c:pt idx="8">
                  <c:v>1.7944051248310544</c:v>
                </c:pt>
                <c:pt idx="9">
                  <c:v>1.7940283549511726</c:v>
                </c:pt>
                <c:pt idx="10">
                  <c:v>1.7936667179131669</c:v>
                </c:pt>
                <c:pt idx="11">
                  <c:v>1.793319895230334</c:v>
                </c:pt>
                <c:pt idx="12">
                  <c:v>1.7929875716896715</c:v>
                </c:pt>
                <c:pt idx="13">
                  <c:v>1.7926694352327108</c:v>
                </c:pt>
                <c:pt idx="14">
                  <c:v>1.7923651768372297</c:v>
                </c:pt>
                <c:pt idx="15">
                  <c:v>1.7920744903997572</c:v>
                </c:pt>
                <c:pt idx="16">
                  <c:v>1.7917970726187533</c:v>
                </c:pt>
                <c:pt idx="17">
                  <c:v>1.791532622878395</c:v>
                </c:pt>
                <c:pt idx="18">
                  <c:v>1.7912808431328398</c:v>
                </c:pt>
                <c:pt idx="19">
                  <c:v>1.791041437790905</c:v>
                </c:pt>
                <c:pt idx="20">
                  <c:v>1.7908141136009905</c:v>
                </c:pt>
                <c:pt idx="21">
                  <c:v>1.7905985795362245</c:v>
                </c:pt>
                <c:pt idx="22">
                  <c:v>1.7903945466796132</c:v>
                </c:pt>
                <c:pt idx="23">
                  <c:v>1.7902017281091716</c:v>
                </c:pt>
                <c:pt idx="24">
                  <c:v>1.7900198387828525</c:v>
                </c:pt>
                <c:pt idx="25">
                  <c:v>1.7898485954231527</c:v>
                </c:pt>
                <c:pt idx="26">
                  <c:v>1.7896877164012979</c:v>
                </c:pt>
                <c:pt idx="27">
                  <c:v>1.789536921620825</c:v>
                </c:pt>
                <c:pt idx="28">
                  <c:v>1.7893959324004303</c:v>
                </c:pt>
                <c:pt idx="29">
                  <c:v>1.7892644713559513</c:v>
                </c:pt>
                <c:pt idx="30">
                  <c:v>1.7891422622813087</c:v>
                </c:pt>
                <c:pt idx="31">
                  <c:v>1.7890290300282177</c:v>
                </c:pt>
                <c:pt idx="32">
                  <c:v>1.788924500384566</c:v>
                </c:pt>
                <c:pt idx="33">
                  <c:v>1.7888283999511898</c:v>
                </c:pt>
                <c:pt idx="34">
                  <c:v>1.7887404560169236</c:v>
                </c:pt>
                <c:pt idx="35">
                  <c:v>1.7886603964316987</c:v>
                </c:pt>
                <c:pt idx="36">
                  <c:v>1.788587949477473</c:v>
                </c:pt>
                <c:pt idx="37">
                  <c:v>1.7885228437367808</c:v>
                </c:pt>
                <c:pt idx="38">
                  <c:v>1.7884648079586718</c:v>
                </c:pt>
                <c:pt idx="39">
                  <c:v>1.7884135709217721</c:v>
                </c:pt>
                <c:pt idx="40">
                  <c:v>1.7883688612942439</c:v>
                </c:pt>
                <c:pt idx="41">
                  <c:v>1.7883304074903039</c:v>
                </c:pt>
                <c:pt idx="42">
                  <c:v>1.7882979375230919</c:v>
                </c:pt>
                <c:pt idx="43">
                  <c:v>1.7882711788534953</c:v>
                </c:pt>
                <c:pt idx="44">
                  <c:v>1.7882498582346511</c:v>
                </c:pt>
                <c:pt idx="45">
                  <c:v>1.7882337015517713</c:v>
                </c:pt>
                <c:pt idx="46">
                  <c:v>1.7882224336568762</c:v>
                </c:pt>
                <c:pt idx="47">
                  <c:v>1.7882157781980859</c:v>
                </c:pt>
                <c:pt idx="48">
                  <c:v>1.7882134574430255</c:v>
                </c:pt>
                <c:pt idx="49">
                  <c:v>1.7882151920958818</c:v>
                </c:pt>
                <c:pt idx="50">
                  <c:v>1.788220701107613</c:v>
                </c:pt>
                <c:pt idx="51">
                  <c:v>1.7882297014788513</c:v>
                </c:pt>
                <c:pt idx="52">
                  <c:v>1.7882419080548488</c:v>
                </c:pt>
                <c:pt idx="53">
                  <c:v>1.7882570333119507</c:v>
                </c:pt>
                <c:pt idx="54">
                  <c:v>1.7882747871348936</c:v>
                </c:pt>
                <c:pt idx="55">
                  <c:v>1.7882948765842741</c:v>
                </c:pt>
                <c:pt idx="56">
                  <c:v>1.7883170056534079</c:v>
                </c:pt>
                <c:pt idx="57">
                  <c:v>1.7883408750138077</c:v>
                </c:pt>
                <c:pt idx="58">
                  <c:v>1.7883661817483949</c:v>
                </c:pt>
                <c:pt idx="59">
                  <c:v>1.7883926190714914</c:v>
                </c:pt>
                <c:pt idx="60">
                  <c:v>1.7884198760346073</c:v>
                </c:pt>
                <c:pt idx="61">
                  <c:v>1.7884476372169056</c:v>
                </c:pt>
                <c:pt idx="62">
                  <c:v>1.7884755823991401</c:v>
                </c:pt>
                <c:pt idx="63">
                  <c:v>1.788503386219797</c:v>
                </c:pt>
                <c:pt idx="64">
                  <c:v>1.7885307178120151</c:v>
                </c:pt>
                <c:pt idx="65">
                  <c:v>1.7885572404197461</c:v>
                </c:pt>
                <c:pt idx="66">
                  <c:v>1.7885826109914917</c:v>
                </c:pt>
                <c:pt idx="67">
                  <c:v>1.788606479749796</c:v>
                </c:pt>
                <c:pt idx="68">
                  <c:v>1.7886284897344915</c:v>
                </c:pt>
                <c:pt idx="69">
                  <c:v>1.7886482763175129</c:v>
                </c:pt>
                <c:pt idx="70">
                  <c:v>1.7886654666869104</c:v>
                </c:pt>
                <c:pt idx="71">
                  <c:v>1.7886796792974062</c:v>
                </c:pt>
                <c:pt idx="72">
                  <c:v>1.7886905232846479</c:v>
                </c:pt>
                <c:pt idx="73">
                  <c:v>1.7886975978399491</c:v>
                </c:pt>
                <c:pt idx="74">
                  <c:v>1.7887004915420739</c:v>
                </c:pt>
                <c:pt idx="75">
                  <c:v>1.7886987816421402</c:v>
                </c:pt>
                <c:pt idx="76">
                  <c:v>1.7886920332974416</c:v>
                </c:pt>
                <c:pt idx="77">
                  <c:v>1.7886797987494301</c:v>
                </c:pt>
                <c:pt idx="78">
                  <c:v>1.7886616164406384</c:v>
                </c:pt>
                <c:pt idx="79">
                  <c:v>1.7886370100647075</c:v>
                </c:pt>
                <c:pt idx="80">
                  <c:v>1.7886054875430766</c:v>
                </c:pt>
                <c:pt idx="81">
                  <c:v>1.7885665399210797</c:v>
                </c:pt>
                <c:pt idx="82">
                  <c:v>1.7885196401754135</c:v>
                </c:pt>
                <c:pt idx="83">
                  <c:v>1.7884642419239472</c:v>
                </c:pt>
                <c:pt idx="84">
                  <c:v>1.7883997780277441</c:v>
                </c:pt>
                <c:pt idx="85">
                  <c:v>1.788325659073926</c:v>
                </c:pt>
                <c:pt idx="86">
                  <c:v>1.7882412717265912</c:v>
                </c:pt>
                <c:pt idx="87">
                  <c:v>1.7881459769312811</c:v>
                </c:pt>
                <c:pt idx="88">
                  <c:v>1.7880391079567068</c:v>
                </c:pt>
                <c:pt idx="89">
                  <c:v>1.7879199682551348</c:v>
                </c:pt>
                <c:pt idx="90">
                  <c:v>1.7877878291203497</c:v>
                </c:pt>
                <c:pt idx="91">
                  <c:v>1.7876419271191863</c:v>
                </c:pt>
                <c:pt idx="92">
                  <c:v>1.7874814612691359</c:v>
                </c:pt>
                <c:pt idx="93">
                  <c:v>1.787305589930541</c:v>
                </c:pt>
                <c:pt idx="94">
                  <c:v>1.7871134273771609</c:v>
                </c:pt>
                <c:pt idx="95">
                  <c:v>1.7869040400034246</c:v>
                </c:pt>
                <c:pt idx="96">
                  <c:v>1.7866764421200199</c:v>
                </c:pt>
                <c:pt idx="97">
                  <c:v>1.7864295912818127</c:v>
                </c:pt>
                <c:pt idx="98">
                  <c:v>1.7861623830828066</c:v>
                </c:pt>
                <c:pt idx="99">
                  <c:v>1.7858736453418298</c:v>
                </c:pt>
                <c:pt idx="100">
                  <c:v>1.7855621315893802</c:v>
                </c:pt>
                <c:pt idx="101">
                  <c:v>1.7852265137500749</c:v>
                </c:pt>
                <c:pt idx="102">
                  <c:v>1.7848653738958291</c:v>
                </c:pt>
                <c:pt idx="103">
                  <c:v>1.7844771949211953</c:v>
                </c:pt>
                <c:pt idx="104">
                  <c:v>1.7840603499636254</c:v>
                </c:pt>
                <c:pt idx="105">
                  <c:v>1.7836130903556064</c:v>
                </c:pt>
                <c:pt idx="106">
                  <c:v>1.7831335318517636</c:v>
                </c:pt>
                <c:pt idx="107">
                  <c:v>1.7826196388190827</c:v>
                </c:pt>
                <c:pt idx="108">
                  <c:v>1.7820692060094081</c:v>
                </c:pt>
                <c:pt idx="109">
                  <c:v>1.7814798374464047</c:v>
                </c:pt>
                <c:pt idx="110">
                  <c:v>1.7808489218481833</c:v>
                </c:pt>
                <c:pt idx="111">
                  <c:v>1.7801736038644616</c:v>
                </c:pt>
                <c:pt idx="112">
                  <c:v>1.779450750222686</c:v>
                </c:pt>
                <c:pt idx="113">
                  <c:v>1.7786769096367068</c:v>
                </c:pt>
                <c:pt idx="114">
                  <c:v>1.7778482650134504</c:v>
                </c:pt>
                <c:pt idx="115">
                  <c:v>1.7769605760688427</c:v>
                </c:pt>
                <c:pt idx="116">
                  <c:v>1.7760091098917288</c:v>
                </c:pt>
                <c:pt idx="117">
                  <c:v>1.7749885562122345</c:v>
                </c:pt>
                <c:pt idx="118">
                  <c:v>1.7738929230477158</c:v>
                </c:pt>
                <c:pt idx="119">
                  <c:v>1.7727154068765953</c:v>
                </c:pt>
                <c:pt idx="120">
                  <c:v>1.7714482293155907</c:v>
                </c:pt>
                <c:pt idx="121">
                  <c:v>1.7700824291130917</c:v>
                </c:pt>
                <c:pt idx="122">
                  <c:v>1.7686075935823051</c:v>
                </c:pt>
                <c:pt idx="123">
                  <c:v>1.7670115064911167</c:v>
                </c:pt>
                <c:pt idx="124">
                  <c:v>1.7652796783891829</c:v>
                </c:pt>
                <c:pt idx="125">
                  <c:v>1.7633947077362011</c:v>
                </c:pt>
                <c:pt idx="126">
                  <c:v>1.761335392184026</c:v>
                </c:pt>
                <c:pt idx="127">
                  <c:v>1.7590754598458362</c:v>
                </c:pt>
                <c:pt idx="128">
                  <c:v>1.7565817022855572</c:v>
                </c:pt>
                <c:pt idx="129">
                  <c:v>1.7538111263948208</c:v>
                </c:pt>
                <c:pt idx="130">
                  <c:v>1.7507064165498611</c:v>
                </c:pt>
                <c:pt idx="131">
                  <c:v>1.7471883063460625</c:v>
                </c:pt>
                <c:pt idx="132">
                  <c:v>1.7431418536105421</c:v>
                </c:pt>
                <c:pt idx="133">
                  <c:v>1.7383894403696372</c:v>
                </c:pt>
                <c:pt idx="134">
                  <c:v>1.7326306861481648</c:v>
                </c:pt>
                <c:pt idx="135">
                  <c:v>1.7252816942468745</c:v>
                </c:pt>
                <c:pt idx="136">
                  <c:v>1.7148849359864593</c:v>
                </c:pt>
                <c:pt idx="137">
                  <c:v>1.6942239096108969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0-C79D-4B9D-9E96-AF39BCA45E13}"/>
            </c:ext>
          </c:extLst>
        </c:ser>
        <c:ser>
          <c:idx val="3"/>
          <c:order val="38"/>
          <c:marker>
            <c:symbol val="none"/>
          </c:marker>
          <c:xVal>
            <c:numRef>
              <c:f>BASIC!$AF$3:$AF$230</c:f>
              <c:numCache>
                <c:formatCode>General</c:formatCode>
                <c:ptCount val="228"/>
                <c:pt idx="0">
                  <c:v>0.99931374563295394</c:v>
                </c:pt>
                <c:pt idx="1">
                  <c:v>1.0038849578137143</c:v>
                </c:pt>
                <c:pt idx="2">
                  <c:v>1.0084472613505648</c:v>
                </c:pt>
                <c:pt idx="3">
                  <c:v>1.0130007730521566</c:v>
                </c:pt>
                <c:pt idx="4">
                  <c:v>1.0175456089741812</c:v>
                </c:pt>
                <c:pt idx="5">
                  <c:v>1.0220818844542183</c:v>
                </c:pt>
                <c:pt idx="6">
                  <c:v>1.0266097141466439</c:v>
                </c:pt>
                <c:pt idx="7">
                  <c:v>1.0311292120575755</c:v>
                </c:pt>
                <c:pt idx="8">
                  <c:v>1.0356404915799566</c:v>
                </c:pt>
                <c:pt idx="9">
                  <c:v>1.0401436655287457</c:v>
                </c:pt>
                <c:pt idx="10">
                  <c:v>1.0446388461762719</c:v>
                </c:pt>
                <c:pt idx="11">
                  <c:v>1.0491261452877929</c:v>
                </c:pt>
                <c:pt idx="12">
                  <c:v>1.0536056741572704</c:v>
                </c:pt>
                <c:pt idx="13">
                  <c:v>1.058077543643408</c:v>
                </c:pt>
                <c:pt idx="14">
                  <c:v>1.062541864205985</c:v>
                </c:pt>
                <c:pt idx="15">
                  <c:v>1.0669987459425283</c:v>
                </c:pt>
                <c:pt idx="16">
                  <c:v>1.0714482986253449</c:v>
                </c:pt>
                <c:pt idx="17">
                  <c:v>1.0758906317389783</c:v>
                </c:pt>
                <c:pt idx="18">
                  <c:v>1.0803258545181003</c:v>
                </c:pt>
                <c:pt idx="19">
                  <c:v>1.0847540759859242</c:v>
                </c:pt>
                <c:pt idx="20">
                  <c:v>1.0891754049931284</c:v>
                </c:pt>
                <c:pt idx="21">
                  <c:v>1.0935899502573998</c:v>
                </c:pt>
                <c:pt idx="22">
                  <c:v>1.0979978204035874</c:v>
                </c:pt>
                <c:pt idx="23">
                  <c:v>1.1023991240045696</c:v>
                </c:pt>
                <c:pt idx="24">
                  <c:v>1.1067939696228546</c:v>
                </c:pt>
                <c:pt idx="25">
                  <c:v>1.1111824658529836</c:v>
                </c:pt>
                <c:pt idx="26">
                  <c:v>1.1155647213648086</c:v>
                </c:pt>
                <c:pt idx="27">
                  <c:v>1.1199408449476846</c:v>
                </c:pt>
                <c:pt idx="28">
                  <c:v>1.1243109455556595</c:v>
                </c:pt>
                <c:pt idx="29">
                  <c:v>1.1286751323537336</c:v>
                </c:pt>
                <c:pt idx="30">
                  <c:v>1.1330335147652635</c:v>
                </c:pt>
                <c:pt idx="31">
                  <c:v>1.1373862025205654</c:v>
                </c:pt>
                <c:pt idx="32">
                  <c:v>1.1417333057068535</c:v>
                </c:pt>
                <c:pt idx="33">
                  <c:v>1.1460749348195349</c:v>
                </c:pt>
                <c:pt idx="34">
                  <c:v>1.1504112008150191</c:v>
                </c:pt>
                <c:pt idx="35">
                  <c:v>1.1547422151651017</c:v>
                </c:pt>
                <c:pt idx="36">
                  <c:v>1.159068089913037</c:v>
                </c:pt>
                <c:pt idx="37">
                  <c:v>1.163388937731423</c:v>
                </c:pt>
                <c:pt idx="38">
                  <c:v>1.1677048719820091</c:v>
                </c:pt>
                <c:pt idx="39">
                  <c:v>1.1720160067775527</c:v>
                </c:pt>
                <c:pt idx="40">
                  <c:v>1.1763224570458735</c:v>
                </c:pt>
                <c:pt idx="41">
                  <c:v>1.1806243385962252</c:v>
                </c:pt>
                <c:pt idx="42">
                  <c:v>1.1849217681881827</c:v>
                </c:pt>
                <c:pt idx="43">
                  <c:v>1.1892148636031594</c:v>
                </c:pt>
                <c:pt idx="44">
                  <c:v>1.1935037437187745</c:v>
                </c:pt>
                <c:pt idx="45">
                  <c:v>1.1977885285862369</c:v>
                </c:pt>
                <c:pt idx="46">
                  <c:v>1.2020693395109567</c:v>
                </c:pt>
                <c:pt idx="47">
                  <c:v>1.2063462991366001</c:v>
                </c:pt>
                <c:pt idx="48">
                  <c:v>1.2106195315328308</c:v>
                </c:pt>
                <c:pt idx="49">
                  <c:v>1.2148891622869842</c:v>
                </c:pt>
                <c:pt idx="50">
                  <c:v>1.2191553185999238</c:v>
                </c:pt>
                <c:pt idx="51">
                  <c:v>1.223418129386433</c:v>
                </c:pt>
                <c:pt idx="52">
                  <c:v>1.2276777253803743</c:v>
                </c:pt>
                <c:pt idx="53">
                  <c:v>1.2319342392450277</c:v>
                </c:pt>
                <c:pt idx="54">
                  <c:v>1.2361878056889293</c:v>
                </c:pt>
                <c:pt idx="55">
                  <c:v>1.2404385615876299</c:v>
                </c:pt>
                <c:pt idx="56">
                  <c:v>1.2446866461117845</c:v>
                </c:pt>
                <c:pt idx="57">
                  <c:v>1.2489322008620474</c:v>
                </c:pt>
                <c:pt idx="58">
                  <c:v>1.2531753700112871</c:v>
                </c:pt>
                <c:pt idx="59">
                  <c:v>1.2574163004546239</c:v>
                </c:pt>
                <c:pt idx="60">
                  <c:v>1.2616551419679352</c:v>
                </c:pt>
                <c:pt idx="61">
                  <c:v>1.265892047375438</c:v>
                </c:pt>
                <c:pt idx="62">
                  <c:v>1.2701271727270611</c:v>
                </c:pt>
                <c:pt idx="63">
                  <c:v>1.2743606774863565</c:v>
                </c:pt>
                <c:pt idx="64">
                  <c:v>1.2785927247298214</c:v>
                </c:pt>
                <c:pt idx="65">
                  <c:v>1.2828234813584887</c:v>
                </c:pt>
                <c:pt idx="66">
                  <c:v>1.2870531183228235</c:v>
                </c:pt>
                <c:pt idx="67">
                  <c:v>1.291281810861985</c:v>
                </c:pt>
                <c:pt idx="68">
                  <c:v>1.2955097387586763</c:v>
                </c:pt>
                <c:pt idx="69">
                  <c:v>1.2997370866108715</c:v>
                </c:pt>
                <c:pt idx="70">
                  <c:v>1.3039640441218592</c:v>
                </c:pt>
                <c:pt idx="71">
                  <c:v>1.308190806410207</c:v>
                </c:pt>
                <c:pt idx="72">
                  <c:v>1.3124175743413831</c:v>
                </c:pt>
                <c:pt idx="73">
                  <c:v>1.3166445548829542</c:v>
                </c:pt>
                <c:pt idx="74">
                  <c:v>1.3208719614855138</c:v>
                </c:pt>
                <c:pt idx="75">
                  <c:v>1.3251000144916725</c:v>
                </c:pt>
                <c:pt idx="76">
                  <c:v>1.3293289415757501</c:v>
                </c:pt>
                <c:pt idx="77">
                  <c:v>1.3335589782170605</c:v>
                </c:pt>
                <c:pt idx="78">
                  <c:v>1.3377903682100312</c:v>
                </c:pt>
                <c:pt idx="79">
                  <c:v>1.3420233642147337</c:v>
                </c:pt>
                <c:pt idx="80">
                  <c:v>1.3462582283518787</c:v>
                </c:pt>
                <c:pt idx="81">
                  <c:v>1.3504952328467386</c:v>
                </c:pt>
                <c:pt idx="82">
                  <c:v>1.3547346607270343</c:v>
                </c:pt>
                <c:pt idx="83">
                  <c:v>1.3589768065804602</c:v>
                </c:pt>
                <c:pt idx="84">
                  <c:v>1.3632219773781797</c:v>
                </c:pt>
                <c:pt idx="85">
                  <c:v>1.3674704933714508</c:v>
                </c:pt>
                <c:pt idx="86">
                  <c:v>1.3717226890694978</c:v>
                </c:pt>
                <c:pt idx="87">
                  <c:v>1.3759789143077727</c:v>
                </c:pt>
                <c:pt idx="88">
                  <c:v>1.3802395354170025</c:v>
                </c:pt>
                <c:pt idx="89">
                  <c:v>1.3845049365048676</c:v>
                </c:pt>
                <c:pt idx="90">
                  <c:v>1.3887755208637766</c:v>
                </c:pt>
                <c:pt idx="91">
                  <c:v>1.3930517125201733</c:v>
                </c:pt>
                <c:pt idx="92">
                  <c:v>1.3973339579430926</c:v>
                </c:pt>
                <c:pt idx="93">
                  <c:v>1.4016227279322455</c:v>
                </c:pt>
                <c:pt idx="94">
                  <c:v>1.4059185197091464</c:v>
                </c:pt>
                <c:pt idx="95">
                  <c:v>1.4102218592384139</c:v>
                </c:pt>
                <c:pt idx="96">
                  <c:v>1.414533303810741</c:v>
                </c:pt>
                <c:pt idx="97">
                  <c:v>1.4188534449242587</c:v>
                </c:pt>
                <c:pt idx="98">
                  <c:v>1.4231829115071708</c:v>
                </c:pt>
                <c:pt idx="99">
                  <c:v>1.4275223735320248</c:v>
                </c:pt>
                <c:pt idx="100">
                  <c:v>1.4318725460809003</c:v>
                </c:pt>
                <c:pt idx="101">
                  <c:v>1.4362341939316494</c:v>
                </c:pt>
                <c:pt idx="102">
                  <c:v>1.4406081367485359</c:v>
                </c:pt>
                <c:pt idx="103">
                  <c:v>1.4449952549766811</c:v>
                </c:pt>
                <c:pt idx="104">
                  <c:v>1.4493964965596156</c:v>
                </c:pt>
                <c:pt idx="105">
                  <c:v>1.4538128846236165</c:v>
                </c:pt>
                <c:pt idx="106">
                  <c:v>1.4582455263030736</c:v>
                </c:pt>
                <c:pt idx="107">
                  <c:v>1.4626956229191517</c:v>
                </c:pt>
                <c:pt idx="108">
                  <c:v>1.4671644817720977</c:v>
                </c:pt>
                <c:pt idx="109">
                  <c:v>1.4716535298684312</c:v>
                </c:pt>
                <c:pt idx="110">
                  <c:v>1.4761643299822695</c:v>
                </c:pt>
                <c:pt idx="111">
                  <c:v>1.4806985995504827</c:v>
                </c:pt>
                <c:pt idx="112">
                  <c:v>1.4852582330321158</c:v>
                </c:pt>
                <c:pt idx="113">
                  <c:v>1.489845328534152</c:v>
                </c:pt>
                <c:pt idx="114">
                  <c:v>1.4944622197332307</c:v>
                </c:pt>
                <c:pt idx="115">
                  <c:v>1.4991115144280944</c:v>
                </c:pt>
                <c:pt idx="116">
                  <c:v>1.5037961414712591</c:v>
                </c:pt>
                <c:pt idx="117">
                  <c:v>1.508519408396767</c:v>
                </c:pt>
                <c:pt idx="118">
                  <c:v>1.51328507285229</c:v>
                </c:pt>
                <c:pt idx="119">
                  <c:v>1.5180974320625342</c:v>
                </c:pt>
                <c:pt idx="120">
                  <c:v>1.5229614361583883</c:v>
                </c:pt>
                <c:pt idx="121">
                  <c:v>1.5278828335582337</c:v>
                </c:pt>
                <c:pt idx="122">
                  <c:v>1.5328683600986088</c:v>
                </c:pt>
                <c:pt idx="123">
                  <c:v>1.5379259889696688</c:v>
                </c:pt>
                <c:pt idx="124">
                  <c:v>1.543065266894899</c:v>
                </c:pt>
                <c:pt idx="125">
                  <c:v>1.5482977754859035</c:v>
                </c:pt>
                <c:pt idx="126">
                  <c:v>1.5536377791166516</c:v>
                </c:pt>
                <c:pt idx="127">
                  <c:v>1.559103159283137</c:v>
                </c:pt>
                <c:pt idx="128">
                  <c:v>1.5647168048479445</c:v>
                </c:pt>
                <c:pt idx="129">
                  <c:v>1.5705087587687354</c:v>
                </c:pt>
                <c:pt idx="130">
                  <c:v>1.5765196850029661</c:v>
                </c:pt>
                <c:pt idx="131">
                  <c:v>1.5828067864300188</c:v>
                </c:pt>
                <c:pt idx="132">
                  <c:v>1.5894546426813387</c:v>
                </c:pt>
                <c:pt idx="133">
                  <c:v>1.5965969831859235</c:v>
                </c:pt>
                <c:pt idx="134">
                  <c:v>1.6044664119939251</c:v>
                </c:pt>
                <c:pt idx="135">
                  <c:v>1.6135320082201567</c:v>
                </c:pt>
                <c:pt idx="136">
                  <c:v>1.6250298525627445</c:v>
                </c:pt>
                <c:pt idx="137">
                  <c:v>1.6458108131385232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2-C79D-4B9D-9E96-AF39BCA45E13}"/>
            </c:ext>
          </c:extLst>
        </c:ser>
        <c:ser>
          <c:idx val="0"/>
          <c:order val="39"/>
          <c:tx>
            <c:strRef>
              <c:f>BASIC!$Y$2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BASIC!$AA$3:$AA$230</c:f>
              <c:numCache>
                <c:formatCode>General</c:formatCode>
                <c:ptCount val="228"/>
                <c:pt idx="0">
                  <c:v>1.8069559969774449</c:v>
                </c:pt>
                <c:pt idx="1">
                  <c:v>1.8064890259302731</c:v>
                </c:pt>
                <c:pt idx="2">
                  <c:v>1.8060402493455878</c:v>
                </c:pt>
                <c:pt idx="3">
                  <c:v>1.8056093490803498</c:v>
                </c:pt>
                <c:pt idx="4">
                  <c:v>1.8051960109803664</c:v>
                </c:pt>
                <c:pt idx="5">
                  <c:v>1.8047999247841711</c:v>
                </c:pt>
                <c:pt idx="6">
                  <c:v>1.8044207840280946</c:v>
                </c:pt>
                <c:pt idx="7">
                  <c:v>1.8040582859525034</c:v>
                </c:pt>
                <c:pt idx="8">
                  <c:v>1.8037121314090641</c:v>
                </c:pt>
                <c:pt idx="9">
                  <c:v>1.8033820247690462</c:v>
                </c:pt>
                <c:pt idx="10">
                  <c:v>1.8030676738325524</c:v>
                </c:pt>
                <c:pt idx="11">
                  <c:v>1.8027687897385882</c:v>
                </c:pt>
                <c:pt idx="12">
                  <c:v>1.8024850868759643</c:v>
                </c:pt>
                <c:pt idx="13">
                  <c:v>1.8022162827949164</c:v>
                </c:pt>
                <c:pt idx="14">
                  <c:v>1.8019620981193973</c:v>
                </c:pt>
                <c:pt idx="15">
                  <c:v>1.8017222564599484</c:v>
                </c:pt>
                <c:pt idx="16">
                  <c:v>1.801496484327137</c:v>
                </c:pt>
                <c:pt idx="17">
                  <c:v>1.8012845110454323</c:v>
                </c:pt>
                <c:pt idx="18">
                  <c:v>1.8010860686675036</c:v>
                </c:pt>
                <c:pt idx="19">
                  <c:v>1.8009008918888703</c:v>
                </c:pt>
                <c:pt idx="20">
                  <c:v>1.8007287179628013</c:v>
                </c:pt>
                <c:pt idx="21">
                  <c:v>1.8005692866154885</c:v>
                </c:pt>
                <c:pt idx="22">
                  <c:v>1.8004223399613517</c:v>
                </c:pt>
                <c:pt idx="23">
                  <c:v>1.8002876224184599</c:v>
                </c:pt>
                <c:pt idx="24">
                  <c:v>1.8001648806240054</c:v>
                </c:pt>
                <c:pt idx="25">
                  <c:v>1.8000538633497936</c:v>
                </c:pt>
                <c:pt idx="26">
                  <c:v>1.7999543214176583</c:v>
                </c:pt>
                <c:pt idx="27">
                  <c:v>1.7998660076147777</c:v>
                </c:pt>
                <c:pt idx="28">
                  <c:v>1.7997886766088369</c:v>
                </c:pt>
                <c:pt idx="29">
                  <c:v>1.7997220848629747</c:v>
                </c:pt>
                <c:pt idx="30">
                  <c:v>1.7996659905504677</c:v>
                </c:pt>
                <c:pt idx="31">
                  <c:v>1.7996201534690996</c:v>
                </c:pt>
                <c:pt idx="32">
                  <c:v>1.7995843349551675</c:v>
                </c:pt>
                <c:pt idx="33">
                  <c:v>1.7995582977970654</c:v>
                </c:pt>
                <c:pt idx="34">
                  <c:v>1.7995418061483948</c:v>
                </c:pt>
                <c:pt idx="35">
                  <c:v>1.7995346254405247</c:v>
                </c:pt>
                <c:pt idx="36">
                  <c:v>1.7995365222945843</c:v>
                </c:pt>
                <c:pt idx="37">
                  <c:v>1.7995472644327992</c:v>
                </c:pt>
                <c:pt idx="38">
                  <c:v>1.7995666205890881</c:v>
                </c:pt>
                <c:pt idx="39">
                  <c:v>1.7995943604188875</c:v>
                </c:pt>
                <c:pt idx="40">
                  <c:v>1.799630254408118</c:v>
                </c:pt>
                <c:pt idx="41">
                  <c:v>1.7996740737812091</c:v>
                </c:pt>
                <c:pt idx="42">
                  <c:v>1.7997255904080958</c:v>
                </c:pt>
                <c:pt idx="43">
                  <c:v>1.7997845767101206</c:v>
                </c:pt>
                <c:pt idx="44">
                  <c:v>1.7998508055647062</c:v>
                </c:pt>
                <c:pt idx="45">
                  <c:v>1.7999240502087535</c:v>
                </c:pt>
                <c:pt idx="46">
                  <c:v>1.800004084140588</c:v>
                </c:pt>
                <c:pt idx="47">
                  <c:v>1.8000906810203972</c:v>
                </c:pt>
                <c:pt idx="48">
                  <c:v>1.8001836145689711</c:v>
                </c:pt>
                <c:pt idx="49">
                  <c:v>1.8002826584646967</c:v>
                </c:pt>
                <c:pt idx="50">
                  <c:v>1.800387586238535</c:v>
                </c:pt>
                <c:pt idx="51">
                  <c:v>1.800498171166943</c:v>
                </c:pt>
                <c:pt idx="52">
                  <c:v>1.8006141861624902</c:v>
                </c:pt>
                <c:pt idx="53">
                  <c:v>1.8007354036620364</c:v>
                </c:pt>
                <c:pt idx="54">
                  <c:v>1.8008615955122109</c:v>
                </c:pt>
                <c:pt idx="55">
                  <c:v>1.8009925328520646</c:v>
                </c:pt>
                <c:pt idx="56">
                  <c:v>1.8011279859925959</c:v>
                </c:pt>
                <c:pt idx="57">
                  <c:v>1.8012677242929287</c:v>
                </c:pt>
                <c:pt idx="58">
                  <c:v>1.8014115160329121</c:v>
                </c:pt>
                <c:pt idx="59">
                  <c:v>1.8015591282817842</c:v>
                </c:pt>
                <c:pt idx="60">
                  <c:v>1.8017103267626977</c:v>
                </c:pt>
                <c:pt idx="61">
                  <c:v>1.8018648757126776</c:v>
                </c:pt>
                <c:pt idx="62">
                  <c:v>1.8020225377377324</c:v>
                </c:pt>
                <c:pt idx="63">
                  <c:v>1.8021830736627429</c:v>
                </c:pt>
                <c:pt idx="64">
                  <c:v>1.8023462423756578</c:v>
                </c:pt>
                <c:pt idx="65">
                  <c:v>1.8025118006656378</c:v>
                </c:pt>
                <c:pt idx="66">
                  <c:v>1.8026795030546461</c:v>
                </c:pt>
                <c:pt idx="67">
                  <c:v>1.8028491016219799</c:v>
                </c:pt>
                <c:pt idx="68">
                  <c:v>1.8030203458212108</c:v>
                </c:pt>
                <c:pt idx="69">
                  <c:v>1.8031929822889554</c:v>
                </c:pt>
                <c:pt idx="70">
                  <c:v>1.8033667546448138</c:v>
                </c:pt>
                <c:pt idx="71">
                  <c:v>1.8035414032818364</c:v>
                </c:pt>
                <c:pt idx="72">
                  <c:v>1.8037166651467591</c:v>
                </c:pt>
                <c:pt idx="73">
                  <c:v>1.8038922735092091</c:v>
                </c:pt>
                <c:pt idx="74">
                  <c:v>1.8040679577190188</c:v>
                </c:pt>
                <c:pt idx="75">
                  <c:v>1.8042434429507204</c:v>
                </c:pt>
                <c:pt idx="76">
                  <c:v>1.8044184499341924</c:v>
                </c:pt>
                <c:pt idx="77">
                  <c:v>1.8045926946703488</c:v>
                </c:pt>
                <c:pt idx="78">
                  <c:v>1.804765888130669</c:v>
                </c:pt>
                <c:pt idx="79">
                  <c:v>1.8049377359392469</c:v>
                </c:pt>
                <c:pt idx="80">
                  <c:v>1.8051079380359598</c:v>
                </c:pt>
                <c:pt idx="81">
                  <c:v>1.8052761883190784</c:v>
                </c:pt>
                <c:pt idx="82">
                  <c:v>1.8054421742657771</c:v>
                </c:pt>
                <c:pt idx="83">
                  <c:v>1.8056055765284615</c:v>
                </c:pt>
                <c:pt idx="84">
                  <c:v>1.8057660685049486</c:v>
                </c:pt>
                <c:pt idx="85">
                  <c:v>1.8059233158802741</c:v>
                </c:pt>
                <c:pt idx="86">
                  <c:v>1.8060769761374187</c:v>
                </c:pt>
                <c:pt idx="87">
                  <c:v>1.8062266980344144</c:v>
                </c:pt>
                <c:pt idx="88">
                  <c:v>1.8063721210445647</c:v>
                </c:pt>
                <c:pt idx="89">
                  <c:v>1.8065128747565291</c:v>
                </c:pt>
                <c:pt idx="90">
                  <c:v>1.8066485782304118</c:v>
                </c:pt>
                <c:pt idx="91">
                  <c:v>1.8067788393057238</c:v>
                </c:pt>
                <c:pt idx="92">
                  <c:v>1.8069032538565184</c:v>
                </c:pt>
                <c:pt idx="93">
                  <c:v>1.8070214049885371</c:v>
                </c:pt>
                <c:pt idx="94">
                  <c:v>1.8071328621725555</c:v>
                </c:pt>
                <c:pt idx="95">
                  <c:v>1.8072371803074117</c:v>
                </c:pt>
                <c:pt idx="96">
                  <c:v>1.807333898705425</c:v>
                </c:pt>
                <c:pt idx="97">
                  <c:v>1.8074225399920472</c:v>
                </c:pt>
                <c:pt idx="98">
                  <c:v>1.8075026089104691</c:v>
                </c:pt>
                <c:pt idx="99">
                  <c:v>1.807573591020774</c:v>
                </c:pt>
                <c:pt idx="100">
                  <c:v>1.8076349512818763</c:v>
                </c:pt>
                <c:pt idx="101">
                  <c:v>1.8076861325027975</c:v>
                </c:pt>
                <c:pt idx="102">
                  <c:v>1.8077265536481635</c:v>
                </c:pt>
                <c:pt idx="103">
                  <c:v>1.8077556079805261</c:v>
                </c:pt>
                <c:pt idx="104">
                  <c:v>1.8077726610197176</c:v>
                </c:pt>
                <c:pt idx="105">
                  <c:v>1.8077770482965787</c:v>
                </c:pt>
                <c:pt idx="106">
                  <c:v>1.8077680728749632</c:v>
                </c:pt>
                <c:pt idx="107">
                  <c:v>1.807745002611947</c:v>
                </c:pt>
                <c:pt idx="108">
                  <c:v>1.8077070671216</c:v>
                </c:pt>
                <c:pt idx="109">
                  <c:v>1.8076534544019351</c:v>
                </c:pt>
                <c:pt idx="110">
                  <c:v>1.8075833070782956</c:v>
                </c:pt>
                <c:pt idx="111">
                  <c:v>1.807495718208417</c:v>
                </c:pt>
                <c:pt idx="112">
                  <c:v>1.8073897265851018</c:v>
                </c:pt>
                <c:pt idx="113">
                  <c:v>1.8072643114611315</c:v>
                </c:pt>
                <c:pt idx="114">
                  <c:v>1.8071183866074036</c:v>
                </c:pt>
                <c:pt idx="115">
                  <c:v>1.8069507935987592</c:v>
                </c:pt>
                <c:pt idx="116">
                  <c:v>1.806760294201736</c:v>
                </c:pt>
                <c:pt idx="117">
                  <c:v>1.8065455617138655</c:v>
                </c:pt>
                <c:pt idx="118">
                  <c:v>1.806305171073479</c:v>
                </c:pt>
                <c:pt idx="119">
                  <c:v>1.8060375875214245</c:v>
                </c:pt>
                <c:pt idx="120">
                  <c:v>1.8057411535486874</c:v>
                </c:pt>
                <c:pt idx="121">
                  <c:v>1.8054140738049071</c:v>
                </c:pt>
                <c:pt idx="122">
                  <c:v>1.8050543975677598</c:v>
                </c:pt>
                <c:pt idx="123">
                  <c:v>1.8046599982777947</c:v>
                </c:pt>
                <c:pt idx="124">
                  <c:v>1.8042285495207473</c:v>
                </c:pt>
                <c:pt idx="125">
                  <c:v>1.8037574966805436</c:v>
                </c:pt>
                <c:pt idx="126">
                  <c:v>1.8032440232788038</c:v>
                </c:pt>
                <c:pt idx="127">
                  <c:v>1.8026850107424714</c:v>
                </c:pt>
                <c:pt idx="128">
                  <c:v>1.8020769899760121</c:v>
                </c:pt>
                <c:pt idx="129">
                  <c:v>1.8014160826210939</c:v>
                </c:pt>
                <c:pt idx="130">
                  <c:v>1.8006979292132947</c:v>
                </c:pt>
                <c:pt idx="131">
                  <c:v>1.7999176005121906</c:v>
                </c:pt>
                <c:pt idx="132">
                  <c:v>1.7990694869707493</c:v>
                </c:pt>
                <c:pt idx="133">
                  <c:v>1.7981471594382912</c:v>
                </c:pt>
                <c:pt idx="134">
                  <c:v>1.7971431914719771</c:v>
                </c:pt>
                <c:pt idx="135">
                  <c:v>1.7960489296012967</c:v>
                </c:pt>
                <c:pt idx="136">
                  <c:v>1.7948541917869199</c:v>
                </c:pt>
                <c:pt idx="137">
                  <c:v>1.7935468648435384</c:v>
                </c:pt>
                <c:pt idx="138">
                  <c:v>1.7921123564911663</c:v>
                </c:pt>
                <c:pt idx="139">
                  <c:v>1.7905328328451047</c:v>
                </c:pt>
                <c:pt idx="140">
                  <c:v>1.7887861297734637</c:v>
                </c:pt>
                <c:pt idx="141">
                  <c:v>1.7868441512255133</c:v>
                </c:pt>
                <c:pt idx="142">
                  <c:v>1.784670427080487</c:v>
                </c:pt>
                <c:pt idx="143">
                  <c:v>1.7822162251205813</c:v>
                </c:pt>
                <c:pt idx="144">
                  <c:v>1.7794140218670615</c:v>
                </c:pt>
                <c:pt idx="145">
                  <c:v>1.7761657698892368</c:v>
                </c:pt>
                <c:pt idx="146">
                  <c:v>1.7723198494418408</c:v>
                </c:pt>
                <c:pt idx="147">
                  <c:v>1.7676198460724475</c:v>
                </c:pt>
                <c:pt idx="148">
                  <c:v>1.7615676271111027</c:v>
                </c:pt>
                <c:pt idx="149">
                  <c:v>1.7529199578819783</c:v>
                </c:pt>
                <c:pt idx="150">
                  <c:v>1.7354342175429409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4-C79D-4B9D-9E96-AF39BCA45E13}"/>
            </c:ext>
          </c:extLst>
        </c:ser>
        <c:ser>
          <c:idx val="1"/>
          <c:order val="4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BASIC!$Z$3:$Z$230</c:f>
              <c:numCache>
                <c:formatCode>General</c:formatCode>
                <c:ptCount val="228"/>
                <c:pt idx="0">
                  <c:v>0.99933750805296717</c:v>
                </c:pt>
                <c:pt idx="1">
                  <c:v>1.0037510542113219</c:v>
                </c:pt>
                <c:pt idx="2">
                  <c:v>1.0081574469674501</c:v>
                </c:pt>
                <c:pt idx="3">
                  <c:v>1.0125567870077967</c:v>
                </c:pt>
                <c:pt idx="4">
                  <c:v>1.0169491737748657</c:v>
                </c:pt>
                <c:pt idx="5">
                  <c:v>1.0213347055045445</c:v>
                </c:pt>
                <c:pt idx="6">
                  <c:v>1.0257134792633278</c:v>
                </c:pt>
                <c:pt idx="7">
                  <c:v>1.0300855909854609</c:v>
                </c:pt>
                <c:pt idx="8">
                  <c:v>1.0344511355099792</c:v>
                </c:pt>
                <c:pt idx="9">
                  <c:v>1.0388102066177529</c:v>
                </c:pt>
                <c:pt idx="10">
                  <c:v>1.0431628970684736</c:v>
                </c:pt>
                <c:pt idx="11">
                  <c:v>1.0475092986376662</c:v>
                </c:pt>
                <c:pt idx="12">
                  <c:v>1.0518495021537271</c:v>
                </c:pt>
                <c:pt idx="13">
                  <c:v>1.05618359753503</c:v>
                </c:pt>
                <c:pt idx="14">
                  <c:v>1.0605116738271241</c:v>
                </c:pt>
                <c:pt idx="15">
                  <c:v>1.064833819240022</c:v>
                </c:pt>
                <c:pt idx="16">
                  <c:v>1.0691501211856773</c:v>
                </c:pt>
                <c:pt idx="17">
                  <c:v>1.0734606663155966</c:v>
                </c:pt>
                <c:pt idx="18">
                  <c:v>1.0777655405586797</c:v>
                </c:pt>
                <c:pt idx="19">
                  <c:v>1.0820648291592987</c:v>
                </c:pt>
                <c:pt idx="20">
                  <c:v>1.0863586167156289</c:v>
                </c:pt>
                <c:pt idx="21">
                  <c:v>1.0906469872183091</c:v>
                </c:pt>
                <c:pt idx="22">
                  <c:v>1.0949300240894224</c:v>
                </c:pt>
                <c:pt idx="23">
                  <c:v>1.0992078102218528</c:v>
                </c:pt>
                <c:pt idx="24">
                  <c:v>1.1034804280190529</c:v>
                </c:pt>
                <c:pt idx="25">
                  <c:v>1.1077479594352693</c:v>
                </c:pt>
                <c:pt idx="26">
                  <c:v>1.1120104860162356</c:v>
                </c:pt>
                <c:pt idx="27">
                  <c:v>1.1162680889404064</c:v>
                </c:pt>
                <c:pt idx="28">
                  <c:v>1.1205208490607623</c:v>
                </c:pt>
                <c:pt idx="29">
                  <c:v>1.1247688469472064</c:v>
                </c:pt>
                <c:pt idx="30">
                  <c:v>1.1290121629296466</c:v>
                </c:pt>
                <c:pt idx="31">
                  <c:v>1.133250877141752</c:v>
                </c:pt>
                <c:pt idx="32">
                  <c:v>1.1374850695654841</c:v>
                </c:pt>
                <c:pt idx="33">
                  <c:v>1.1417148200764151</c:v>
                </c:pt>
                <c:pt idx="34">
                  <c:v>1.1459402084899097</c:v>
                </c:pt>
                <c:pt idx="35">
                  <c:v>1.1501613146081937</c:v>
                </c:pt>
                <c:pt idx="36">
                  <c:v>1.154378218268423</c:v>
                </c:pt>
                <c:pt idx="37">
                  <c:v>1.1585909993917445</c:v>
                </c:pt>
                <c:pt idx="38">
                  <c:v>1.1627997380334603</c:v>
                </c:pt>
                <c:pt idx="39">
                  <c:v>1.1670045144343353</c:v>
                </c:pt>
                <c:pt idx="40">
                  <c:v>1.1712054090731281</c:v>
                </c:pt>
                <c:pt idx="41">
                  <c:v>1.1754025027204051</c:v>
                </c:pt>
                <c:pt idx="42">
                  <c:v>1.17959587649373</c:v>
                </c:pt>
                <c:pt idx="43">
                  <c:v>1.1837856119142895</c:v>
                </c:pt>
                <c:pt idx="44">
                  <c:v>1.187971790965038</c:v>
                </c:pt>
                <c:pt idx="45">
                  <c:v>1.19215449615047</c:v>
                </c:pt>
                <c:pt idx="46">
                  <c:v>1.1963338105580916</c:v>
                </c:pt>
                <c:pt idx="47">
                  <c:v>1.2005098179216789</c:v>
                </c:pt>
                <c:pt idx="48">
                  <c:v>1.2046826026864579</c:v>
                </c:pt>
                <c:pt idx="49">
                  <c:v>1.2088522500762893</c:v>
                </c:pt>
                <c:pt idx="50">
                  <c:v>1.2130188461629825</c:v>
                </c:pt>
                <c:pt idx="51">
                  <c:v>1.217182477937832</c:v>
                </c:pt>
                <c:pt idx="52">
                  <c:v>1.221343233385572</c:v>
                </c:pt>
                <c:pt idx="53">
                  <c:v>1.2255012015607956</c:v>
                </c:pt>
                <c:pt idx="54">
                  <c:v>1.2296564726670625</c:v>
                </c:pt>
                <c:pt idx="55">
                  <c:v>1.2338091381388054</c:v>
                </c:pt>
                <c:pt idx="56">
                  <c:v>1.2379592907261943</c:v>
                </c:pt>
                <c:pt idx="57">
                  <c:v>1.242107024583182</c:v>
                </c:pt>
                <c:pt idx="58">
                  <c:v>1.2462524353588489</c:v>
                </c:pt>
                <c:pt idx="59">
                  <c:v>1.2503956202922966</c:v>
                </c:pt>
                <c:pt idx="60">
                  <c:v>1.2545366783112912</c:v>
                </c:pt>
                <c:pt idx="61">
                  <c:v>1.2586757101348618</c:v>
                </c:pt>
                <c:pt idx="62">
                  <c:v>1.2628128183801235</c:v>
                </c:pt>
                <c:pt idx="63">
                  <c:v>1.2669481076735805</c:v>
                </c:pt>
                <c:pt idx="64">
                  <c:v>1.271081684767166</c:v>
                </c:pt>
                <c:pt idx="65">
                  <c:v>1.2752136586593468</c:v>
                </c:pt>
                <c:pt idx="66">
                  <c:v>1.2793441407216029</c:v>
                </c:pt>
                <c:pt idx="67">
                  <c:v>1.2834732448306192</c:v>
                </c:pt>
                <c:pt idx="68">
                  <c:v>1.2876010875065846</c:v>
                </c:pt>
                <c:pt idx="69">
                  <c:v>1.2917277880579654</c:v>
                </c:pt>
                <c:pt idx="70">
                  <c:v>1.2958534687332248</c:v>
                </c:pt>
                <c:pt idx="71">
                  <c:v>1.2999782548799286</c:v>
                </c:pt>
                <c:pt idx="72">
                  <c:v>1.3041022751117388</c:v>
                </c:pt>
                <c:pt idx="73">
                  <c:v>1.3082256614838801</c:v>
                </c:pt>
                <c:pt idx="74">
                  <c:v>1.3123485496776166</c:v>
                </c:pt>
                <c:pt idx="75">
                  <c:v>1.3164710791944119</c:v>
                </c:pt>
                <c:pt idx="76">
                  <c:v>1.3205933935604801</c:v>
                </c:pt>
                <c:pt idx="77">
                  <c:v>1.3247156405424407</c:v>
                </c:pt>
                <c:pt idx="78">
                  <c:v>1.3288379723749539</c:v>
                </c:pt>
                <c:pt idx="79">
                  <c:v>1.3329605460011649</c:v>
                </c:pt>
                <c:pt idx="80">
                  <c:v>1.3370835233270275</c:v>
                </c:pt>
                <c:pt idx="81">
                  <c:v>1.3412070714904625</c:v>
                </c:pt>
                <c:pt idx="82">
                  <c:v>1.3453313631466228</c:v>
                </c:pt>
                <c:pt idx="83">
                  <c:v>1.3494565767704481</c:v>
                </c:pt>
                <c:pt idx="84">
                  <c:v>1.3535828969779824</c:v>
                </c:pt>
                <c:pt idx="85">
                  <c:v>1.3577105148679747</c:v>
                </c:pt>
                <c:pt idx="86">
                  <c:v>1.3618396283853733</c:v>
                </c:pt>
                <c:pt idx="87">
                  <c:v>1.3659704427087216</c:v>
                </c:pt>
                <c:pt idx="88">
                  <c:v>1.3701031706633617</c:v>
                </c:pt>
                <c:pt idx="89">
                  <c:v>1.3742380331628019</c:v>
                </c:pt>
                <c:pt idx="90">
                  <c:v>1.3783752596807095</c:v>
                </c:pt>
                <c:pt idx="91">
                  <c:v>1.3825150887563475</c:v>
                </c:pt>
                <c:pt idx="92">
                  <c:v>1.3866577685364865</c:v>
                </c:pt>
                <c:pt idx="93">
                  <c:v>1.3908035573572846</c:v>
                </c:pt>
                <c:pt idx="94">
                  <c:v>1.3949527243699085</c:v>
                </c:pt>
                <c:pt idx="95">
                  <c:v>1.3991055502142247</c:v>
                </c:pt>
                <c:pt idx="96">
                  <c:v>1.4032623277452734</c:v>
                </c:pt>
                <c:pt idx="97">
                  <c:v>1.4074233628179644</c:v>
                </c:pt>
                <c:pt idx="98">
                  <c:v>1.41158897513598</c:v>
                </c:pt>
                <c:pt idx="99">
                  <c:v>1.4157594991716778</c:v>
                </c:pt>
                <c:pt idx="100">
                  <c:v>1.4199352851647091</c:v>
                </c:pt>
                <c:pt idx="101">
                  <c:v>1.4241167002079844</c:v>
                </c:pt>
                <c:pt idx="102">
                  <c:v>1.4283041294308989</c:v>
                </c:pt>
                <c:pt idx="103">
                  <c:v>1.4324979772910107</c:v>
                </c:pt>
                <c:pt idx="104">
                  <c:v>1.4366986689869985</c:v>
                </c:pt>
                <c:pt idx="105">
                  <c:v>1.4409066520075446</c:v>
                </c:pt>
                <c:pt idx="106">
                  <c:v>1.4451223978330272</c:v>
                </c:pt>
                <c:pt idx="107">
                  <c:v>1.4493464038093096</c:v>
                </c:pt>
                <c:pt idx="108">
                  <c:v>1.4535791952161474</c:v>
                </c:pt>
                <c:pt idx="109">
                  <c:v>1.4578213275560674</c:v>
                </c:pt>
                <c:pt idx="110">
                  <c:v>1.4620733890939968</c:v>
                </c:pt>
                <c:pt idx="111">
                  <c:v>1.4663360036828681</c:v>
                </c:pt>
                <c:pt idx="112">
                  <c:v>1.4706098339165528</c:v>
                </c:pt>
                <c:pt idx="113">
                  <c:v>1.4748955846587462</c:v>
                </c:pt>
                <c:pt idx="114">
                  <c:v>1.479194007005306</c:v>
                </c:pt>
                <c:pt idx="115">
                  <c:v>1.4835059027482476</c:v>
                </c:pt>
                <c:pt idx="116">
                  <c:v>1.4878321294227363</c:v>
                </c:pt>
                <c:pt idx="117">
                  <c:v>1.4921736060345696</c:v>
                </c:pt>
                <c:pt idx="118">
                  <c:v>1.4965313195854666</c:v>
                </c:pt>
                <c:pt idx="119">
                  <c:v>1.5009063325383531</c:v>
                </c:pt>
                <c:pt idx="120">
                  <c:v>1.5052997913955839</c:v>
                </c:pt>
                <c:pt idx="121">
                  <c:v>1.5097129366021198</c:v>
                </c:pt>
                <c:pt idx="122">
                  <c:v>1.5141471140349412</c:v>
                </c:pt>
                <c:pt idx="123">
                  <c:v>1.5186037884029813</c:v>
                </c:pt>
                <c:pt idx="124">
                  <c:v>1.5230845589629871</c:v>
                </c:pt>
                <c:pt idx="125">
                  <c:v>1.5275911780620195</c:v>
                </c:pt>
                <c:pt idx="126">
                  <c:v>1.5321255731552805</c:v>
                </c:pt>
                <c:pt idx="127">
                  <c:v>1.5366898731305469</c:v>
                </c:pt>
                <c:pt idx="128">
                  <c:v>1.54128644001469</c:v>
                </c:pt>
                <c:pt idx="129">
                  <c:v>1.545917907468076</c:v>
                </c:pt>
                <c:pt idx="130">
                  <c:v>1.5505872279251893</c:v>
                </c:pt>
                <c:pt idx="131">
                  <c:v>1.5552977308679445</c:v>
                </c:pt>
                <c:pt idx="132">
                  <c:v>1.5600531956033794</c:v>
                </c:pt>
                <c:pt idx="133">
                  <c:v>1.5648579431849183</c:v>
                </c:pt>
                <c:pt idx="134">
                  <c:v>1.5697169539640918</c:v>
                </c:pt>
                <c:pt idx="135">
                  <c:v>1.5746360200067189</c:v>
                </c:pt>
                <c:pt idx="136">
                  <c:v>1.5796219457823408</c:v>
                </c:pt>
                <c:pt idx="137">
                  <c:v>1.5846828170379108</c:v>
                </c:pt>
                <c:pt idx="138">
                  <c:v>1.5898283681782956</c:v>
                </c:pt>
                <c:pt idx="139">
                  <c:v>1.595070495679884</c:v>
                </c:pt>
                <c:pt idx="140">
                  <c:v>1.6004239945354957</c:v>
                </c:pt>
                <c:pt idx="141">
                  <c:v>1.605907647374393</c:v>
                </c:pt>
                <c:pt idx="142">
                  <c:v>1.611545894680219</c:v>
                </c:pt>
                <c:pt idx="143">
                  <c:v>1.6173715110634725</c:v>
                </c:pt>
                <c:pt idx="144">
                  <c:v>1.6234301325014291</c:v>
                </c:pt>
                <c:pt idx="145">
                  <c:v>1.6297884603721666</c:v>
                </c:pt>
                <c:pt idx="146">
                  <c:v>1.6365505380110905</c:v>
                </c:pt>
                <c:pt idx="147">
                  <c:v>1.6438943589045163</c:v>
                </c:pt>
                <c:pt idx="148">
                  <c:v>1.6521712238741983</c:v>
                </c:pt>
                <c:pt idx="149">
                  <c:v>1.6622788867183871</c:v>
                </c:pt>
                <c:pt idx="150">
                  <c:v>1.6789542324713218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6-C79D-4B9D-9E96-AF39BCA45E13}"/>
            </c:ext>
          </c:extLst>
        </c:ser>
        <c:ser>
          <c:idx val="8"/>
          <c:order val="41"/>
          <c:marker>
            <c:symbol val="none"/>
          </c:marker>
          <c:xVal>
            <c:numRef>
              <c:f>BASIC!$AI$3:$AI$230</c:f>
              <c:numCache>
                <c:formatCode>General</c:formatCode>
                <c:ptCount val="228"/>
                <c:pt idx="0">
                  <c:v>1.0821968592132907</c:v>
                </c:pt>
                <c:pt idx="1">
                  <c:v>1.0865259412803143</c:v>
                </c:pt>
                <c:pt idx="2">
                  <c:v>1.0908466724709434</c:v>
                </c:pt>
                <c:pt idx="3">
                  <c:v>1.0951591337833957</c:v>
                </c:pt>
                <c:pt idx="4">
                  <c:v>1.0994634055651711</c:v>
                </c:pt>
                <c:pt idx="5">
                  <c:v>1.1037595675376273</c:v>
                </c:pt>
                <c:pt idx="6">
                  <c:v>1.1080476988197805</c:v>
                </c:pt>
                <c:pt idx="7">
                  <c:v>1.1123278779524366</c:v>
                </c:pt>
                <c:pt idx="8">
                  <c:v>1.1166001829218493</c:v>
                </c:pt>
                <c:pt idx="9">
                  <c:v>1.1208646911836599</c:v>
                </c:pt>
                <c:pt idx="10">
                  <c:v>1.1251214796862476</c:v>
                </c:pt>
                <c:pt idx="11">
                  <c:v>1.1293706248943627</c:v>
                </c:pt>
                <c:pt idx="12">
                  <c:v>1.1336122028124462</c:v>
                </c:pt>
                <c:pt idx="13">
                  <c:v>1.1378462890082228</c:v>
                </c:pt>
                <c:pt idx="14">
                  <c:v>1.1420729586357861</c:v>
                </c:pt>
                <c:pt idx="15">
                  <c:v>1.146292286459127</c:v>
                </c:pt>
                <c:pt idx="16">
                  <c:v>1.1505043468753791</c:v>
                </c:pt>
                <c:pt idx="17">
                  <c:v>1.1547092139382606</c:v>
                </c:pt>
                <c:pt idx="18">
                  <c:v>1.1589069613813856</c:v>
                </c:pt>
                <c:pt idx="19">
                  <c:v>1.1630976626418184</c:v>
                </c:pt>
                <c:pt idx="20">
                  <c:v>1.1672813908835422</c:v>
                </c:pt>
                <c:pt idx="21">
                  <c:v>1.1714582190212901</c:v>
                </c:pt>
                <c:pt idx="22">
                  <c:v>1.1756282197441978</c:v>
                </c:pt>
                <c:pt idx="23">
                  <c:v>1.1797914655397652</c:v>
                </c:pt>
                <c:pt idx="24">
                  <c:v>1.1839480287181245</c:v>
                </c:pt>
                <c:pt idx="25">
                  <c:v>1.188097981436222</c:v>
                </c:pt>
                <c:pt idx="26">
                  <c:v>1.1922413957224585</c:v>
                </c:pt>
                <c:pt idx="27">
                  <c:v>1.1963783435014792</c:v>
                </c:pt>
                <c:pt idx="28">
                  <c:v>1.2005088966192738</c:v>
                </c:pt>
                <c:pt idx="29">
                  <c:v>1.2046331268685928</c:v>
                </c:pt>
                <c:pt idx="30">
                  <c:v>1.2087511060146043</c:v>
                </c:pt>
                <c:pt idx="31">
                  <c:v>1.2128629058210989</c:v>
                </c:pt>
                <c:pt idx="32">
                  <c:v>1.2169685980768923</c:v>
                </c:pt>
                <c:pt idx="33">
                  <c:v>1.2210682546228571</c:v>
                </c:pt>
                <c:pt idx="34">
                  <c:v>1.2251619473790991</c:v>
                </c:pt>
                <c:pt idx="35">
                  <c:v>1.2292497483730187</c:v>
                </c:pt>
                <c:pt idx="36">
                  <c:v>1.2333317297676054</c:v>
                </c:pt>
                <c:pt idx="37">
                  <c:v>1.2374079638903943</c:v>
                </c:pt>
                <c:pt idx="38">
                  <c:v>1.2414785232631249</c:v>
                </c:pt>
                <c:pt idx="39">
                  <c:v>1.2455434806317038</c:v>
                </c:pt>
                <c:pt idx="40">
                  <c:v>1.2496029089973764</c:v>
                </c:pt>
                <c:pt idx="41">
                  <c:v>1.2536568816481064</c:v>
                </c:pt>
                <c:pt idx="42">
                  <c:v>1.2577054721910708</c:v>
                </c:pt>
                <c:pt idx="43">
                  <c:v>1.2617487545857307</c:v>
                </c:pt>
                <c:pt idx="44">
                  <c:v>1.2657868031780015</c:v>
                </c:pt>
                <c:pt idx="45">
                  <c:v>1.2698196927352483</c:v>
                </c:pt>
                <c:pt idx="46">
                  <c:v>1.2738474984821182</c:v>
                </c:pt>
                <c:pt idx="47">
                  <c:v>1.2778702961374968</c:v>
                </c:pt>
                <c:pt idx="48">
                  <c:v>1.281888161952732</c:v>
                </c:pt>
                <c:pt idx="49">
                  <c:v>1.2859011727507341</c:v>
                </c:pt>
                <c:pt idx="50">
                  <c:v>1.2899094059664378</c:v>
                </c:pt>
                <c:pt idx="51">
                  <c:v>1.293912939688532</c:v>
                </c:pt>
                <c:pt idx="52">
                  <c:v>1.2979118527025533</c:v>
                </c:pt>
                <c:pt idx="53">
                  <c:v>1.3019062245354196</c:v>
                </c:pt>
                <c:pt idx="54">
                  <c:v>1.3058961355014913</c:v>
                </c:pt>
                <c:pt idx="55">
                  <c:v>1.3098816667502564</c:v>
                </c:pt>
                <c:pt idx="56">
                  <c:v>1.313862900315705</c:v>
                </c:pt>
                <c:pt idx="57">
                  <c:v>1.3178399191675341</c:v>
                </c:pt>
                <c:pt idx="58">
                  <c:v>1.3218128072642474</c:v>
                </c:pt>
                <c:pt idx="59">
                  <c:v>1.3257816496082921</c:v>
                </c:pt>
                <c:pt idx="60">
                  <c:v>1.3297465323033366</c:v>
                </c:pt>
                <c:pt idx="61">
                  <c:v>1.3337075426138234</c:v>
                </c:pt>
                <c:pt idx="62">
                  <c:v>1.3376647690269201</c:v>
                </c:pt>
                <c:pt idx="63">
                  <c:v>1.3416183013170409</c:v>
                </c:pt>
                <c:pt idx="64">
                  <c:v>1.3455682306130583</c:v>
                </c:pt>
                <c:pt idx="65">
                  <c:v>1.3495146494683938</c:v>
                </c:pt>
                <c:pt idx="66">
                  <c:v>1.3534576519341595</c:v>
                </c:pt>
                <c:pt idx="67">
                  <c:v>1.3573973336355345</c:v>
                </c:pt>
                <c:pt idx="68">
                  <c:v>1.3613337918515829</c:v>
                </c:pt>
                <c:pt idx="69">
                  <c:v>1.3652671255987279</c:v>
                </c:pt>
                <c:pt idx="70">
                  <c:v>1.3691974357181291</c:v>
                </c:pt>
                <c:pt idx="71">
                  <c:v>1.3731248249671812</c:v>
                </c:pt>
                <c:pt idx="72">
                  <c:v>1.3770493981154432</c:v>
                </c:pt>
                <c:pt idx="73">
                  <c:v>1.3809712620452625</c:v>
                </c:pt>
                <c:pt idx="74">
                  <c:v>1.3848905258574173</c:v>
                </c:pt>
                <c:pt idx="75">
                  <c:v>1.3888073009821034</c:v>
                </c:pt>
                <c:pt idx="76">
                  <c:v>1.3927217012956528</c:v>
                </c:pt>
                <c:pt idx="77">
                  <c:v>1.3966338432433467</c:v>
                </c:pt>
                <c:pt idx="78">
                  <c:v>1.4005438459687767</c:v>
                </c:pt>
                <c:pt idx="79">
                  <c:v>1.404451831450193</c:v>
                </c:pt>
                <c:pt idx="80">
                  <c:v>1.4083579246443632</c:v>
                </c:pt>
                <c:pt idx="81">
                  <c:v>1.4122622536384495</c:v>
                </c:pt>
                <c:pt idx="82">
                  <c:v>1.4161649498105278</c:v>
                </c:pt>
                <c:pt idx="83">
                  <c:v>1.4200661479993679</c:v>
                </c:pt>
                <c:pt idx="84">
                  <c:v>1.4239659866841805</c:v>
                </c:pt>
                <c:pt idx="85">
                  <c:v>1.4278646081750841</c:v>
                </c:pt>
                <c:pt idx="86">
                  <c:v>1.4317621588151186</c:v>
                </c:pt>
                <c:pt idx="87">
                  <c:v>1.4356587891947203</c:v>
                </c:pt>
                <c:pt idx="88">
                  <c:v>1.4395546543796507</c:v>
                </c:pt>
                <c:pt idx="89">
                  <c:v>1.4434499141534385</c:v>
                </c:pt>
                <c:pt idx="90">
                  <c:v>1.4473447332755498</c:v>
                </c:pt>
                <c:pt idx="91">
                  <c:v>1.4512392817565853</c:v>
                </c:pt>
                <c:pt idx="92">
                  <c:v>1.45513373515194</c:v>
                </c:pt>
                <c:pt idx="93">
                  <c:v>1.4590282748754881</c:v>
                </c:pt>
                <c:pt idx="94">
                  <c:v>1.4629230885350863</c:v>
                </c:pt>
                <c:pt idx="95">
                  <c:v>1.4668183702917599</c:v>
                </c:pt>
                <c:pt idx="96">
                  <c:v>1.4707143212447444</c:v>
                </c:pt>
                <c:pt idx="97">
                  <c:v>1.474611149844741</c:v>
                </c:pt>
                <c:pt idx="98">
                  <c:v>1.4785090723379906</c:v>
                </c:pt>
                <c:pt idx="99">
                  <c:v>1.4824083132440957</c:v>
                </c:pt>
                <c:pt idx="100">
                  <c:v>1.4863091058708364</c:v>
                </c:pt>
                <c:pt idx="101">
                  <c:v>1.4902116928695814</c:v>
                </c:pt>
                <c:pt idx="102">
                  <c:v>1.4941163268354019</c:v>
                </c:pt>
                <c:pt idx="103">
                  <c:v>1.4980232709563452</c:v>
                </c:pt>
                <c:pt idx="104">
                  <c:v>1.5019327997030503</c:v>
                </c:pt>
                <c:pt idx="105">
                  <c:v>1.5058451996456685</c:v>
                </c:pt>
                <c:pt idx="106">
                  <c:v>1.5097607702074562</c:v>
                </c:pt>
                <c:pt idx="107">
                  <c:v>1.5136798246176379</c:v>
                </c:pt>
                <c:pt idx="108">
                  <c:v>1.5176026908855904</c:v>
                </c:pt>
                <c:pt idx="109">
                  <c:v>1.521529712878223</c:v>
                </c:pt>
                <c:pt idx="110">
                  <c:v>1.5254612514994952</c:v>
                </c:pt>
                <c:pt idx="111">
                  <c:v>1.5293976859842484</c:v>
                </c:pt>
                <c:pt idx="112">
                  <c:v>1.5333394153202939</c:v>
                </c:pt>
                <c:pt idx="113">
                  <c:v>1.5372868598147573</c:v>
                </c:pt>
                <c:pt idx="114">
                  <c:v>1.5412404628231089</c:v>
                </c:pt>
                <c:pt idx="115">
                  <c:v>1.5452006926621251</c:v>
                </c:pt>
                <c:pt idx="116">
                  <c:v>1.5491680447314176</c:v>
                </c:pt>
                <c:pt idx="117">
                  <c:v>1.5531430438721061</c:v>
                </c:pt>
                <c:pt idx="118">
                  <c:v>1.5571262469960301</c:v>
                </c:pt>
                <c:pt idx="119">
                  <c:v>1.5611182460245414</c:v>
                </c:pt>
                <c:pt idx="120">
                  <c:v>1.5651196711827595</c:v>
                </c:pt>
                <c:pt idx="121">
                  <c:v>1.5691311947034792</c:v>
                </c:pt>
                <c:pt idx="122">
                  <c:v>1.5731535350049886</c:v>
                </c:pt>
                <c:pt idx="123">
                  <c:v>1.5771874614192718</c:v>
                </c:pt>
                <c:pt idx="124">
                  <c:v>1.5812337995622374</c:v>
                </c:pt>
                <c:pt idx="125">
                  <c:v>1.5852934374561964</c:v>
                </c:pt>
                <c:pt idx="126">
                  <c:v>1.5893673325378423</c:v>
                </c:pt>
                <c:pt idx="127">
                  <c:v>1.5934565197138744</c:v>
                </c:pt>
                <c:pt idx="128">
                  <c:v>1.5975621206623585</c:v>
                </c:pt>
                <c:pt idx="129">
                  <c:v>1.6016853546234973</c:v>
                </c:pt>
                <c:pt idx="130">
                  <c:v>1.6058275509812088</c:v>
                </c:pt>
                <c:pt idx="131">
                  <c:v>1.6099901640108487</c:v>
                </c:pt>
                <c:pt idx="132">
                  <c:v>1.6141747902637615</c:v>
                </c:pt>
                <c:pt idx="133">
                  <c:v>1.6183831891837559</c:v>
                </c:pt>
                <c:pt idx="134">
                  <c:v>1.6226173077142947</c:v>
                </c:pt>
                <c:pt idx="135">
                  <c:v>1.6268793098733687</c:v>
                </c:pt>
                <c:pt idx="136">
                  <c:v>1.631171612567107</c:v>
                </c:pt>
                <c:pt idx="137">
                  <c:v>1.635496929314578</c:v>
                </c:pt>
                <c:pt idx="138">
                  <c:v>1.6398583241114613</c:v>
                </c:pt>
                <c:pt idx="139">
                  <c:v>1.644259278439006</c:v>
                </c:pt>
                <c:pt idx="140">
                  <c:v>1.6487037755337024</c:v>
                </c:pt>
                <c:pt idx="141">
                  <c:v>1.6531964076388554</c:v>
                </c:pt>
                <c:pt idx="142">
                  <c:v>1.6577425143279425</c:v>
                </c:pt>
                <c:pt idx="143">
                  <c:v>1.6623483635566749</c:v>
                </c:pt>
                <c:pt idx="144">
                  <c:v>1.6670213925992359</c:v>
                </c:pt>
                <c:pt idx="145">
                  <c:v>1.6717705232275268</c:v>
                </c:pt>
                <c:pt idx="146">
                  <c:v>1.6766066512473663</c:v>
                </c:pt>
                <c:pt idx="147">
                  <c:v>1.6815432382742892</c:v>
                </c:pt>
                <c:pt idx="148">
                  <c:v>1.6865972766124917</c:v>
                </c:pt>
                <c:pt idx="149">
                  <c:v>1.6917906935466598</c:v>
                </c:pt>
                <c:pt idx="150">
                  <c:v>1.6971525658574884</c:v>
                </c:pt>
                <c:pt idx="151">
                  <c:v>1.7027227679953614</c:v>
                </c:pt>
                <c:pt idx="152">
                  <c:v>1.7085582875177989</c:v>
                </c:pt>
                <c:pt idx="153">
                  <c:v>1.7147454413740604</c:v>
                </c:pt>
                <c:pt idx="154">
                  <c:v>1.7214246973018377</c:v>
                </c:pt>
                <c:pt idx="155">
                  <c:v>1.7288521814747519</c:v>
                </c:pt>
                <c:pt idx="156">
                  <c:v>1.737582510352244</c:v>
                </c:pt>
                <c:pt idx="157">
                  <c:v>1.7493092250849107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BASIC!$AK$3:$AK$230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8-C79D-4B9D-9E96-AF39BCA45E13}"/>
            </c:ext>
          </c:extLst>
        </c:ser>
        <c:ser>
          <c:idx val="9"/>
          <c:order val="42"/>
          <c:marker>
            <c:symbol val="none"/>
          </c:marker>
          <c:xVal>
            <c:numRef>
              <c:f>BASIC!$AJ$3:$AJ$230</c:f>
              <c:numCache>
                <c:formatCode>General</c:formatCode>
                <c:ptCount val="228"/>
                <c:pt idx="0">
                  <c:v>1.8152172112352949</c:v>
                </c:pt>
                <c:pt idx="1">
                  <c:v>1.8150509329522475</c:v>
                </c:pt>
                <c:pt idx="2">
                  <c:v>1.8149037332518787</c:v>
                </c:pt>
                <c:pt idx="3">
                  <c:v>1.8147752487432374</c:v>
                </c:pt>
                <c:pt idx="4">
                  <c:v>1.8146651217902088</c:v>
                </c:pt>
                <c:pt idx="5">
                  <c:v>1.8145730003914124</c:v>
                </c:pt>
                <c:pt idx="6">
                  <c:v>1.8144985379290994</c:v>
                </c:pt>
                <c:pt idx="7">
                  <c:v>1.8144413935522954</c:v>
                </c:pt>
                <c:pt idx="8">
                  <c:v>1.8144012310428339</c:v>
                </c:pt>
                <c:pt idx="9">
                  <c:v>1.8143777196844126</c:v>
                </c:pt>
                <c:pt idx="10">
                  <c:v>1.8143705336410909</c:v>
                </c:pt>
                <c:pt idx="11">
                  <c:v>1.8143793518914859</c:v>
                </c:pt>
                <c:pt idx="12">
                  <c:v>1.814403858301783</c:v>
                </c:pt>
                <c:pt idx="13">
                  <c:v>1.814443741115382</c:v>
                </c:pt>
                <c:pt idx="14">
                  <c:v>1.8144986932216733</c:v>
                </c:pt>
                <c:pt idx="15">
                  <c:v>1.8145684118461327</c:v>
                </c:pt>
                <c:pt idx="16">
                  <c:v>1.814652598456417</c:v>
                </c:pt>
                <c:pt idx="17">
                  <c:v>1.8147509587199036</c:v>
                </c:pt>
                <c:pt idx="18">
                  <c:v>1.8148632022382269</c:v>
                </c:pt>
                <c:pt idx="19">
                  <c:v>1.81498904261856</c:v>
                </c:pt>
                <c:pt idx="20">
                  <c:v>1.8151281972285502</c:v>
                </c:pt>
                <c:pt idx="21">
                  <c:v>1.8152803871497041</c:v>
                </c:pt>
                <c:pt idx="22">
                  <c:v>1.8154453370397443</c:v>
                </c:pt>
                <c:pt idx="23">
                  <c:v>1.8156227750524518</c:v>
                </c:pt>
                <c:pt idx="24">
                  <c:v>1.8158124327290524</c:v>
                </c:pt>
                <c:pt idx="25">
                  <c:v>1.8160140448649977</c:v>
                </c:pt>
                <c:pt idx="26">
                  <c:v>1.8162273494402053</c:v>
                </c:pt>
                <c:pt idx="27">
                  <c:v>1.8164520875059313</c:v>
                </c:pt>
                <c:pt idx="28">
                  <c:v>1.8166880030748578</c:v>
                </c:pt>
                <c:pt idx="29">
                  <c:v>1.8169348430365482</c:v>
                </c:pt>
                <c:pt idx="30">
                  <c:v>1.8171923570471338</c:v>
                </c:pt>
                <c:pt idx="31">
                  <c:v>1.8174602974346976</c:v>
                </c:pt>
                <c:pt idx="32">
                  <c:v>1.8177384191040162</c:v>
                </c:pt>
                <c:pt idx="33">
                  <c:v>1.8180264794388583</c:v>
                </c:pt>
                <c:pt idx="34">
                  <c:v>1.8183242382036755</c:v>
                </c:pt>
                <c:pt idx="35">
                  <c:v>1.8186314574513061</c:v>
                </c:pt>
                <c:pt idx="36">
                  <c:v>1.8189479014278678</c:v>
                </c:pt>
                <c:pt idx="37">
                  <c:v>1.8192733364754499</c:v>
                </c:pt>
                <c:pt idx="38">
                  <c:v>1.8196075309416979</c:v>
                </c:pt>
                <c:pt idx="39">
                  <c:v>1.8199502550851874</c:v>
                </c:pt>
                <c:pt idx="40">
                  <c:v>1.8203012809810928</c:v>
                </c:pt>
                <c:pt idx="41">
                  <c:v>1.8206603824289718</c:v>
                </c:pt>
                <c:pt idx="42">
                  <c:v>1.8210273348591139</c:v>
                </c:pt>
                <c:pt idx="43">
                  <c:v>1.8214019152415304</c:v>
                </c:pt>
                <c:pt idx="44">
                  <c:v>1.821783901986864</c:v>
                </c:pt>
                <c:pt idx="45">
                  <c:v>1.8221730748634442</c:v>
                </c:pt>
                <c:pt idx="46">
                  <c:v>1.822569214890065</c:v>
                </c:pt>
                <c:pt idx="47">
                  <c:v>1.8229721042544018</c:v>
                </c:pt>
                <c:pt idx="48">
                  <c:v>1.8233815262105832</c:v>
                </c:pt>
                <c:pt idx="49">
                  <c:v>1.8237972649916303</c:v>
                </c:pt>
                <c:pt idx="50">
                  <c:v>1.8242191057019244</c:v>
                </c:pt>
                <c:pt idx="51">
                  <c:v>1.8246468342325532</c:v>
                </c:pt>
                <c:pt idx="52">
                  <c:v>1.8250802371576449</c:v>
                </c:pt>
                <c:pt idx="53">
                  <c:v>1.8255191016367223</c:v>
                </c:pt>
                <c:pt idx="54">
                  <c:v>1.8259632153155168</c:v>
                </c:pt>
                <c:pt idx="55">
                  <c:v>1.8264123662239442</c:v>
                </c:pt>
                <c:pt idx="56">
                  <c:v>1.8268663426739478</c:v>
                </c:pt>
                <c:pt idx="57">
                  <c:v>1.8273249331550179</c:v>
                </c:pt>
                <c:pt idx="58">
                  <c:v>1.827787926227729</c:v>
                </c:pt>
                <c:pt idx="59">
                  <c:v>1.8282551104150326</c:v>
                </c:pt>
                <c:pt idx="60">
                  <c:v>1.8287262740928709</c:v>
                </c:pt>
                <c:pt idx="61">
                  <c:v>1.8292012053757356</c:v>
                </c:pt>
                <c:pt idx="62">
                  <c:v>1.829679692001992</c:v>
                </c:pt>
                <c:pt idx="63">
                  <c:v>1.8301615212146536</c:v>
                </c:pt>
                <c:pt idx="64">
                  <c:v>1.8306464796405166</c:v>
                </c:pt>
                <c:pt idx="65">
                  <c:v>1.8311343531639996</c:v>
                </c:pt>
                <c:pt idx="66">
                  <c:v>1.8316249267992053</c:v>
                </c:pt>
                <c:pt idx="67">
                  <c:v>1.8321179845566116</c:v>
                </c:pt>
                <c:pt idx="68">
                  <c:v>1.8326133093063921</c:v>
                </c:pt>
                <c:pt idx="69">
                  <c:v>1.8331106826364727</c:v>
                </c:pt>
                <c:pt idx="70">
                  <c:v>1.8336098847059066</c:v>
                </c:pt>
                <c:pt idx="71">
                  <c:v>1.8341106940929532</c:v>
                </c:pt>
                <c:pt idx="72">
                  <c:v>1.8346128876369834</c:v>
                </c:pt>
                <c:pt idx="73">
                  <c:v>1.8351162402748697</c:v>
                </c:pt>
                <c:pt idx="74">
                  <c:v>1.835620693268267</c:v>
                </c:pt>
                <c:pt idx="75">
                  <c:v>1.8361255120322308</c:v>
                </c:pt>
                <c:pt idx="76">
                  <c:v>1.8366309699373096</c:v>
                </c:pt>
                <c:pt idx="77">
                  <c:v>1.8371367672167229</c:v>
                </c:pt>
                <c:pt idx="78">
                  <c:v>1.8376424374393319</c:v>
                </c:pt>
                <c:pt idx="79">
                  <c:v>1.8381478658051356</c:v>
                </c:pt>
                <c:pt idx="80">
                  <c:v>1.8386528087633651</c:v>
                </c:pt>
                <c:pt idx="81">
                  <c:v>1.8391570192642943</c:v>
                </c:pt>
                <c:pt idx="82">
                  <c:v>1.839660246514107</c:v>
                </c:pt>
                <c:pt idx="83">
                  <c:v>1.8401622357158498</c:v>
                </c:pt>
                <c:pt idx="84">
                  <c:v>1.8406627277972041</c:v>
                </c:pt>
                <c:pt idx="85">
                  <c:v>1.8411614591230829</c:v>
                </c:pt>
                <c:pt idx="86">
                  <c:v>1.8416581611913783</c:v>
                </c:pt>
                <c:pt idx="87">
                  <c:v>1.8421525603122959</c:v>
                </c:pt>
                <c:pt idx="88">
                  <c:v>1.8426445313990547</c:v>
                </c:pt>
                <c:pt idx="89">
                  <c:v>1.8431335035780445</c:v>
                </c:pt>
                <c:pt idx="90">
                  <c:v>1.8436193165115269</c:v>
                </c:pt>
                <c:pt idx="91">
                  <c:v>1.8441016719566821</c:v>
                </c:pt>
                <c:pt idx="92">
                  <c:v>1.8445802645351823</c:v>
                </c:pt>
                <c:pt idx="93">
                  <c:v>1.8450547812689648</c:v>
                </c:pt>
                <c:pt idx="94">
                  <c:v>1.8455249010845334</c:v>
                </c:pt>
                <c:pt idx="95">
                  <c:v>1.8459902942834883</c:v>
                </c:pt>
                <c:pt idx="96">
                  <c:v>1.8464506219759129</c:v>
                </c:pt>
                <c:pt idx="97">
                  <c:v>1.8469055354737798</c:v>
                </c:pt>
                <c:pt idx="98">
                  <c:v>1.8473546756397163</c:v>
                </c:pt>
                <c:pt idx="99">
                  <c:v>1.8477976721881075</c:v>
                </c:pt>
                <c:pt idx="100">
                  <c:v>1.8482341429328522</c:v>
                </c:pt>
                <c:pt idx="101">
                  <c:v>1.8486636929775884</c:v>
                </c:pt>
                <c:pt idx="102">
                  <c:v>1.8490859242859279</c:v>
                </c:pt>
                <c:pt idx="103">
                  <c:v>1.8495003896166164</c:v>
                </c:pt>
                <c:pt idx="104">
                  <c:v>1.8499066633546282</c:v>
                </c:pt>
                <c:pt idx="105">
                  <c:v>1.8503042901601776</c:v>
                </c:pt>
                <c:pt idx="106">
                  <c:v>1.8506927968179689</c:v>
                </c:pt>
                <c:pt idx="107">
                  <c:v>1.8510716909287919</c:v>
                </c:pt>
                <c:pt idx="108">
                  <c:v>1.8514404594842535</c:v>
                </c:pt>
                <c:pt idx="109">
                  <c:v>1.8517985673121613</c:v>
                </c:pt>
                <c:pt idx="110">
                  <c:v>1.8521454553772954</c:v>
                </c:pt>
                <c:pt idx="111">
                  <c:v>1.8524805389209891</c:v>
                </c:pt>
                <c:pt idx="112">
                  <c:v>1.8528032054208683</c:v>
                </c:pt>
                <c:pt idx="113">
                  <c:v>1.8531128123486524</c:v>
                </c:pt>
                <c:pt idx="114">
                  <c:v>1.853408684701602</c:v>
                </c:pt>
                <c:pt idx="115">
                  <c:v>1.8536901122788927</c:v>
                </c:pt>
                <c:pt idx="116">
                  <c:v>1.8539563466689035</c:v>
                </c:pt>
                <c:pt idx="117">
                  <c:v>1.8542065979076181</c:v>
                </c:pt>
                <c:pt idx="118">
                  <c:v>1.8544400307583211</c:v>
                </c:pt>
                <c:pt idx="119">
                  <c:v>1.8546557605526259</c:v>
                </c:pt>
                <c:pt idx="120">
                  <c:v>1.8548528485170164</c:v>
                </c:pt>
                <c:pt idx="121">
                  <c:v>1.8550302964920256</c:v>
                </c:pt>
                <c:pt idx="122">
                  <c:v>1.8551870409307154</c:v>
                </c:pt>
                <c:pt idx="123">
                  <c:v>1.8553219460408112</c:v>
                </c:pt>
                <c:pt idx="124">
                  <c:v>1.8554337959145828</c:v>
                </c:pt>
                <c:pt idx="125">
                  <c:v>1.8555212854719985</c:v>
                </c:pt>
                <c:pt idx="126">
                  <c:v>1.8555830100282862</c:v>
                </c:pt>
                <c:pt idx="127">
                  <c:v>1.8556174532881105</c:v>
                </c:pt>
                <c:pt idx="128">
                  <c:v>1.8556229735586536</c:v>
                </c:pt>
                <c:pt idx="129">
                  <c:v>1.8555977879590977</c:v>
                </c:pt>
                <c:pt idx="130">
                  <c:v>1.8555399543711475</c:v>
                </c:pt>
                <c:pt idx="131">
                  <c:v>1.8554473508087508</c:v>
                </c:pt>
                <c:pt idx="132">
                  <c:v>1.8553176517709939</c:v>
                </c:pt>
                <c:pt idx="133">
                  <c:v>1.8551483009574008</c:v>
                </c:pt>
                <c:pt idx="134">
                  <c:v>1.854936479372437</c:v>
                </c:pt>
                <c:pt idx="135">
                  <c:v>1.8546790680540863</c:v>
                </c:pt>
                <c:pt idx="136">
                  <c:v>1.8543726025721943</c:v>
                </c:pt>
                <c:pt idx="137">
                  <c:v>1.854013218377905</c:v>
                </c:pt>
                <c:pt idx="138">
                  <c:v>1.8535965829035532</c:v>
                </c:pt>
                <c:pt idx="139">
                  <c:v>1.8531178106924626</c:v>
                </c:pt>
                <c:pt idx="140">
                  <c:v>1.8525713560664634</c:v>
                </c:pt>
                <c:pt idx="141">
                  <c:v>1.8519508760433609</c:v>
                </c:pt>
                <c:pt idx="142">
                  <c:v>1.8512490535315804</c:v>
                </c:pt>
                <c:pt idx="143">
                  <c:v>1.8504573668136199</c:v>
                </c:pt>
                <c:pt idx="144">
                  <c:v>1.8495657851524654</c:v>
                </c:pt>
                <c:pt idx="145">
                  <c:v>1.8485623606160786</c:v>
                </c:pt>
                <c:pt idx="146">
                  <c:v>1.8474326704584367</c:v>
                </c:pt>
                <c:pt idx="147">
                  <c:v>1.8461590381619115</c:v>
                </c:pt>
                <c:pt idx="148">
                  <c:v>1.8447194160637723</c:v>
                </c:pt>
                <c:pt idx="149">
                  <c:v>1.8430857314900682</c:v>
                </c:pt>
                <c:pt idx="150">
                  <c:v>1.8412213461663123</c:v>
                </c:pt>
                <c:pt idx="151">
                  <c:v>1.8390768246023981</c:v>
                </c:pt>
                <c:pt idx="152">
                  <c:v>1.8365833384009538</c:v>
                </c:pt>
                <c:pt idx="153">
                  <c:v>1.833639430757267</c:v>
                </c:pt>
                <c:pt idx="154">
                  <c:v>1.8300849165938888</c:v>
                </c:pt>
                <c:pt idx="155">
                  <c:v>1.8256424470491595</c:v>
                </c:pt>
                <c:pt idx="156">
                  <c:v>1.8197458181978095</c:v>
                </c:pt>
                <c:pt idx="157">
                  <c:v>1.8108295075782164</c:v>
                </c:pt>
                <c:pt idx="158">
                  <c:v>1.7793668245100724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BASIC!$AK$3:$AK$230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A-C79D-4B9D-9E96-AF39BCA45E13}"/>
            </c:ext>
          </c:extLst>
        </c:ser>
        <c:ser>
          <c:idx val="10"/>
          <c:order val="43"/>
          <c:marker>
            <c:symbol val="none"/>
          </c:marker>
          <c:xVal>
            <c:numRef>
              <c:f>BASIC!$U$26:$U$27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xVal>
          <c:yVal>
            <c:numRef>
              <c:f>BASIC!$V$26:$V$27</c:f>
              <c:numCache>
                <c:formatCode>General</c:formatCode>
                <c:ptCount val="2"/>
                <c:pt idx="0">
                  <c:v>403.15</c:v>
                </c:pt>
                <c:pt idx="1">
                  <c:v>403.15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C79D-4B9D-9E96-AF39BCA45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137967"/>
        <c:axId val="2086138447"/>
      </c:scatterChart>
      <c:valAx>
        <c:axId val="2086137967"/>
        <c:scaling>
          <c:orientation val="minMax"/>
          <c:max val="2.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2086138447"/>
        <c:crosses val="autoZero"/>
        <c:crossBetween val="midCat"/>
      </c:valAx>
      <c:valAx>
        <c:axId val="2086138447"/>
        <c:scaling>
          <c:orientation val="minMax"/>
          <c:max val="500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208613796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IHX!$Y$2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IHX!$X$3:$X$230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IHX!$Y$3:$Y$230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C5-4C0D-8275-998BAC8F6345}"/>
            </c:ext>
          </c:extLst>
        </c:ser>
        <c:ser>
          <c:idx val="5"/>
          <c:order val="1"/>
          <c:marker>
            <c:symbol val="none"/>
          </c:marker>
          <c:xVal>
            <c:numRef>
              <c:f>IHX!$W$3:$W$230</c:f>
              <c:numCache>
                <c:formatCode>General</c:formatCode>
                <c:ptCount val="228"/>
                <c:pt idx="0">
                  <c:v>0.99935383812074075</c:v>
                </c:pt>
                <c:pt idx="1">
                  <c:v>1.0036571124029343</c:v>
                </c:pt>
                <c:pt idx="2">
                  <c:v>1.007949921588732</c:v>
                </c:pt>
                <c:pt idx="3">
                  <c:v>1.0122323565496221</c:v>
                </c:pt>
                <c:pt idx="4">
                  <c:v>1.0165045076500987</c:v>
                </c:pt>
                <c:pt idx="5">
                  <c:v>1.0207664647681178</c:v>
                </c:pt>
                <c:pt idx="6">
                  <c:v>1.025018317315169</c:v>
                </c:pt>
                <c:pt idx="7">
                  <c:v>1.0292601542559727</c:v>
                </c:pt>
                <c:pt idx="8">
                  <c:v>1.0334920641278504</c:v>
                </c:pt>
                <c:pt idx="9">
                  <c:v>1.0377141350597896</c:v>
                </c:pt>
                <c:pt idx="10">
                  <c:v>1.0419264547912337</c:v>
                </c:pt>
                <c:pt idx="11">
                  <c:v>1.0461291106906001</c:v>
                </c:pt>
                <c:pt idx="12">
                  <c:v>1.0503221897736099</c:v>
                </c:pt>
                <c:pt idx="13">
                  <c:v>1.0545057787213796</c:v>
                </c:pt>
                <c:pt idx="14">
                  <c:v>1.0586799638983757</c:v>
                </c:pt>
                <c:pt idx="15">
                  <c:v>1.0628448313701864</c:v>
                </c:pt>
                <c:pt idx="16">
                  <c:v>1.0670004669212028</c:v>
                </c:pt>
                <c:pt idx="17">
                  <c:v>1.0711469560721758</c:v>
                </c:pt>
                <c:pt idx="18">
                  <c:v>1.0752843840977115</c:v>
                </c:pt>
                <c:pt idx="19">
                  <c:v>1.0794128360437187</c:v>
                </c:pt>
                <c:pt idx="20">
                  <c:v>1.0835323967448098</c:v>
                </c:pt>
                <c:pt idx="21">
                  <c:v>1.0876431508417204</c:v>
                </c:pt>
                <c:pt idx="22">
                  <c:v>1.0917451827987306</c:v>
                </c:pt>
                <c:pt idx="23">
                  <c:v>1.0958385769211378</c:v>
                </c:pt>
                <c:pt idx="24">
                  <c:v>1.0999234173727939</c:v>
                </c:pt>
                <c:pt idx="25">
                  <c:v>1.1039997881937191</c:v>
                </c:pt>
                <c:pt idx="26">
                  <c:v>1.1080677733178383</c:v>
                </c:pt>
                <c:pt idx="27">
                  <c:v>1.112127456590849</c:v>
                </c:pt>
                <c:pt idx="28">
                  <c:v>1.1161789217882361</c:v>
                </c:pt>
                <c:pt idx="29">
                  <c:v>1.1202222526334802</c:v>
                </c:pt>
                <c:pt idx="30">
                  <c:v>1.1242575328164468</c:v>
                </c:pt>
                <c:pt idx="31">
                  <c:v>1.1282848460120287</c:v>
                </c:pt>
                <c:pt idx="32">
                  <c:v>1.1323042758990149</c:v>
                </c:pt>
                <c:pt idx="33">
                  <c:v>1.1363159061792447</c:v>
                </c:pt>
                <c:pt idx="34">
                  <c:v>1.1403198205970508</c:v>
                </c:pt>
                <c:pt idx="35">
                  <c:v>1.1443161029590414</c:v>
                </c:pt>
                <c:pt idx="36">
                  <c:v>1.1483048371542033</c:v>
                </c:pt>
                <c:pt idx="37">
                  <c:v>1.152286107174415</c:v>
                </c:pt>
                <c:pt idx="38">
                  <c:v>1.1562599971353227</c:v>
                </c:pt>
                <c:pt idx="39">
                  <c:v>1.1602265912976704</c:v>
                </c:pt>
                <c:pt idx="40">
                  <c:v>1.1641859740890776</c:v>
                </c:pt>
                <c:pt idx="41">
                  <c:v>1.1681382301262944</c:v>
                </c:pt>
                <c:pt idx="42">
                  <c:v>1.1720834442379842</c:v>
                </c:pt>
                <c:pt idx="43">
                  <c:v>1.1760217014880414</c:v>
                </c:pt>
                <c:pt idx="44">
                  <c:v>1.1799530871994934</c:v>
                </c:pt>
                <c:pt idx="45">
                  <c:v>1.1838776869789995</c:v>
                </c:pt>
                <c:pt idx="46">
                  <c:v>1.1877955867420156</c:v>
                </c:pt>
                <c:pt idx="47">
                  <c:v>1.1917068727386215</c:v>
                </c:pt>
                <c:pt idx="48">
                  <c:v>1.1956116315800682</c:v>
                </c:pt>
                <c:pt idx="49">
                  <c:v>1.1995099502660949</c:v>
                </c:pt>
                <c:pt idx="50">
                  <c:v>1.2034019162130283</c:v>
                </c:pt>
                <c:pt idx="51">
                  <c:v>1.2072876172827212</c:v>
                </c:pt>
                <c:pt idx="52">
                  <c:v>1.2111671418124004</c:v>
                </c:pt>
                <c:pt idx="53">
                  <c:v>1.2150405786454082</c:v>
                </c:pt>
                <c:pt idx="54">
                  <c:v>1.2189080171629554</c:v>
                </c:pt>
                <c:pt idx="55">
                  <c:v>1.2227695473168991</c:v>
                </c:pt>
                <c:pt idx="56">
                  <c:v>1.2266252596635954</c:v>
                </c:pt>
                <c:pt idx="57">
                  <c:v>1.2304752453989167</c:v>
                </c:pt>
                <c:pt idx="58">
                  <c:v>1.2343195963944575</c:v>
                </c:pt>
                <c:pt idx="59">
                  <c:v>1.2381584052350196</c:v>
                </c:pt>
                <c:pt idx="60">
                  <c:v>1.2419917652574359</c:v>
                </c:pt>
                <c:pt idx="61">
                  <c:v>1.2458197705907987</c:v>
                </c:pt>
                <c:pt idx="62">
                  <c:v>1.2496425161981703</c:v>
                </c:pt>
                <c:pt idx="63">
                  <c:v>1.253460097919872</c:v>
                </c:pt>
                <c:pt idx="64">
                  <c:v>1.2572726125184119</c:v>
                </c:pt>
                <c:pt idx="65">
                  <c:v>1.2610801577251685</c:v>
                </c:pt>
                <c:pt idx="66">
                  <c:v>1.2648828322888912</c:v>
                </c:pt>
                <c:pt idx="67">
                  <c:v>1.2686807360261754</c:v>
                </c:pt>
                <c:pt idx="68">
                  <c:v>1.2724739698739582</c:v>
                </c:pt>
                <c:pt idx="69">
                  <c:v>1.276262635944196</c:v>
                </c:pt>
                <c:pt idx="70">
                  <c:v>1.2800468375808449</c:v>
                </c:pt>
                <c:pt idx="71">
                  <c:v>1.2838266794192421</c:v>
                </c:pt>
                <c:pt idx="72">
                  <c:v>1.2876022674480709</c:v>
                </c:pt>
                <c:pt idx="73">
                  <c:v>1.2913737090740509</c:v>
                </c:pt>
                <c:pt idx="74">
                  <c:v>1.295141113189485</c:v>
                </c:pt>
                <c:pt idx="75">
                  <c:v>1.2989045902428917</c:v>
                </c:pt>
                <c:pt idx="76">
                  <c:v>1.3026642523128524</c:v>
                </c:pt>
                <c:pt idx="77">
                  <c:v>1.3064202131853251</c:v>
                </c:pt>
                <c:pt idx="78">
                  <c:v>1.3101725884345881</c:v>
                </c:pt>
                <c:pt idx="79">
                  <c:v>1.313921495508096</c:v>
                </c:pt>
                <c:pt idx="80">
                  <c:v>1.3176670538154613</c:v>
                </c:pt>
                <c:pt idx="81">
                  <c:v>1.3214093848218289</c:v>
                </c:pt>
                <c:pt idx="82">
                  <c:v>1.3251486121459628</c:v>
                </c:pt>
                <c:pt idx="83">
                  <c:v>1.3288848616633187</c:v>
                </c:pt>
                <c:pt idx="84">
                  <c:v>1.3326182616144591</c:v>
                </c:pt>
                <c:pt idx="85">
                  <c:v>1.3363489427191748</c:v>
                </c:pt>
                <c:pt idx="86">
                  <c:v>1.3400770382966898</c:v>
                </c:pt>
                <c:pt idx="87">
                  <c:v>1.3438026843923925</c:v>
                </c:pt>
                <c:pt idx="88">
                  <c:v>1.3475260199115398</c:v>
                </c:pt>
                <c:pt idx="89">
                  <c:v>1.3512471867604432</c:v>
                </c:pt>
                <c:pt idx="90">
                  <c:v>1.3549663299956802</c:v>
                </c:pt>
                <c:pt idx="91">
                  <c:v>1.3586835979819074</c:v>
                </c:pt>
                <c:pt idx="92">
                  <c:v>1.3623991425589403</c:v>
                </c:pt>
                <c:pt idx="93">
                  <c:v>1.366113119218791</c:v>
                </c:pt>
                <c:pt idx="94">
                  <c:v>1.3698256872934167</c:v>
                </c:pt>
                <c:pt idx="95">
                  <c:v>1.3735370101540452</c:v>
                </c:pt>
                <c:pt idx="96">
                  <c:v>1.3772472554229509</c:v>
                </c:pt>
                <c:pt idx="97">
                  <c:v>1.3809565951987335</c:v>
                </c:pt>
                <c:pt idx="98">
                  <c:v>1.3846652062961544</c:v>
                </c:pt>
                <c:pt idx="99">
                  <c:v>1.3883732705017666</c:v>
                </c:pt>
                <c:pt idx="100">
                  <c:v>1.3920809748466492</c:v>
                </c:pt>
                <c:pt idx="101">
                  <c:v>1.395788511897728</c:v>
                </c:pt>
                <c:pt idx="102">
                  <c:v>1.3994960800692851</c:v>
                </c:pt>
                <c:pt idx="103">
                  <c:v>1.4032038839564369</c:v>
                </c:pt>
                <c:pt idx="104">
                  <c:v>1.4069121346925726</c:v>
                </c:pt>
                <c:pt idx="105">
                  <c:v>1.4106210503329268</c:v>
                </c:pt>
                <c:pt idx="106">
                  <c:v>1.4143308562667165</c:v>
                </c:pt>
                <c:pt idx="107">
                  <c:v>1.4180417856605523</c:v>
                </c:pt>
                <c:pt idx="108">
                  <c:v>1.421754079936125</c:v>
                </c:pt>
                <c:pt idx="109">
                  <c:v>1.4254679892855344</c:v>
                </c:pt>
                <c:pt idx="110">
                  <c:v>1.4291837732280082</c:v>
                </c:pt>
                <c:pt idx="111">
                  <c:v>1.4329017012122216</c:v>
                </c:pt>
                <c:pt idx="112">
                  <c:v>1.4366220532689484</c:v>
                </c:pt>
                <c:pt idx="113">
                  <c:v>1.4403451207193387</c:v>
                </c:pt>
                <c:pt idx="114">
                  <c:v>1.4440712069448318</c:v>
                </c:pt>
                <c:pt idx="115">
                  <c:v>1.4478006282254461</c:v>
                </c:pt>
                <c:pt idx="116">
                  <c:v>1.4515337146541378</c:v>
                </c:pt>
                <c:pt idx="117">
                  <c:v>1.4552708111358765</c:v>
                </c:pt>
                <c:pt idx="118">
                  <c:v>1.4590122784813726</c:v>
                </c:pt>
                <c:pt idx="119">
                  <c:v>1.4627584946067025</c:v>
                </c:pt>
                <c:pt idx="120">
                  <c:v>1.4665098558517549</c:v>
                </c:pt>
                <c:pt idx="121">
                  <c:v>1.4702667784322663</c:v>
                </c:pt>
                <c:pt idx="122">
                  <c:v>1.4740297000424785</c:v>
                </c:pt>
                <c:pt idx="123">
                  <c:v>1.4777990816280131</c:v>
                </c:pt>
                <c:pt idx="124">
                  <c:v>1.4815754093516875</c:v>
                </c:pt>
                <c:pt idx="125">
                  <c:v>1.4853591967785957</c:v>
                </c:pt>
                <c:pt idx="126">
                  <c:v>1.4891509873111239</c:v>
                </c:pt>
                <c:pt idx="127">
                  <c:v>1.4929513569097939</c:v>
                </c:pt>
                <c:pt idx="128">
                  <c:v>1.4967609171419463</c:v>
                </c:pt>
                <c:pt idx="129">
                  <c:v>1.5005803186077911</c:v>
                </c:pt>
                <c:pt idx="130">
                  <c:v>1.5044102548023932</c:v>
                </c:pt>
                <c:pt idx="131">
                  <c:v>1.5082514664830589</c:v>
                </c:pt>
                <c:pt idx="132">
                  <c:v>1.5121047466250273</c:v>
                </c:pt>
                <c:pt idx="133">
                  <c:v>1.5159709460647892</c:v>
                </c:pt>
                <c:pt idx="134">
                  <c:v>1.5198509799506008</c:v>
                </c:pt>
                <c:pt idx="135">
                  <c:v>1.5237458351449489</c:v>
                </c:pt>
                <c:pt idx="136">
                  <c:v>1.5276565787551482</c:v>
                </c:pt>
                <c:pt idx="137">
                  <c:v>1.5315843680077781</c:v>
                </c:pt>
                <c:pt idx="138">
                  <c:v>1.5355304617326928</c:v>
                </c:pt>
                <c:pt idx="139">
                  <c:v>1.5394962337861589</c:v>
                </c:pt>
                <c:pt idx="140">
                  <c:v>1.5434831888247296</c:v>
                </c:pt>
                <c:pt idx="141">
                  <c:v>1.5474929809478202</c:v>
                </c:pt>
                <c:pt idx="142">
                  <c:v>1.5515274358660895</c:v>
                </c:pt>
                <c:pt idx="143">
                  <c:v>1.5555885774365181</c:v>
                </c:pt>
                <c:pt idx="144">
                  <c:v>1.5596786596503731</c:v>
                </c:pt>
                <c:pt idx="145">
                  <c:v>1.5638002054912665</c:v>
                </c:pt>
                <c:pt idx="146">
                  <c:v>1.5679560545327833</c:v>
                </c:pt>
                <c:pt idx="147">
                  <c:v>1.5721494217710987</c:v>
                </c:pt>
                <c:pt idx="148">
                  <c:v>1.5763839710668965</c:v>
                </c:pt>
                <c:pt idx="149">
                  <c:v>1.5806639078244011</c:v>
                </c:pt>
                <c:pt idx="150">
                  <c:v>1.5849940973538441</c:v>
                </c:pt>
                <c:pt idx="151">
                  <c:v>1.5893802180526375</c:v>
                </c:pt>
                <c:pt idx="152">
                  <c:v>1.5938289626003692</c:v>
                </c:pt>
                <c:pt idx="153">
                  <c:v>1.5983483066377104</c:v>
                </c:pt>
                <c:pt idx="154">
                  <c:v>1.6029478743559193</c:v>
                </c:pt>
                <c:pt idx="155">
                  <c:v>1.6076394466979418</c:v>
                </c:pt>
                <c:pt idx="156">
                  <c:v>1.612437685389551</c:v>
                </c:pt>
                <c:pt idx="157">
                  <c:v>1.6173611943994382</c:v>
                </c:pt>
                <c:pt idx="158">
                  <c:v>1.6224341294517362</c:v>
                </c:pt>
                <c:pt idx="159">
                  <c:v>1.6276887390978472</c:v>
                </c:pt>
                <c:pt idx="160">
                  <c:v>1.6331695790984819</c:v>
                </c:pt>
                <c:pt idx="161">
                  <c:v>1.6389409459654878</c:v>
                </c:pt>
                <c:pt idx="162">
                  <c:v>1.6451010727956192</c:v>
                </c:pt>
                <c:pt idx="163">
                  <c:v>1.6518123014955362</c:v>
                </c:pt>
                <c:pt idx="164">
                  <c:v>1.6593758699874803</c:v>
                </c:pt>
                <c:pt idx="165">
                  <c:v>1.6684690487033711</c:v>
                </c:pt>
                <c:pt idx="166">
                  <c:v>1.6813913222963466</c:v>
                </c:pt>
              </c:numCache>
            </c:numRef>
          </c:xVal>
          <c:yVal>
            <c:numRef>
              <c:f>IHX!$Y$3:$Y$230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C5-4C0D-8275-998BAC8F6345}"/>
            </c:ext>
          </c:extLst>
        </c:ser>
        <c:ser>
          <c:idx val="6"/>
          <c:order val="2"/>
          <c:tx>
            <c:strRef>
              <c:f>IHX!$Y$2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IHX!$X$3:$X$230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IHX!$Y$3:$Y$230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DC5-4C0D-8275-998BAC8F6345}"/>
            </c:ext>
          </c:extLst>
        </c:ser>
        <c:ser>
          <c:idx val="7"/>
          <c:order val="3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IHX!$Z$3:$Z$230</c:f>
              <c:numCache>
                <c:formatCode>General</c:formatCode>
                <c:ptCount val="228"/>
                <c:pt idx="0">
                  <c:v>0.99926926582767361</c:v>
                </c:pt>
                <c:pt idx="1">
                  <c:v>1.0041359172048705</c:v>
                </c:pt>
                <c:pt idx="2">
                  <c:v>1.0089910884181452</c:v>
                </c:pt>
                <c:pt idx="3">
                  <c:v>1.0138348955909882</c:v>
                </c:pt>
                <c:pt idx="4">
                  <c:v>1.0186674534350868</c:v>
                </c:pt>
                <c:pt idx="5">
                  <c:v>1.0234888752800013</c:v>
                </c:pt>
                <c:pt idx="6">
                  <c:v>1.0282992731025271</c:v>
                </c:pt>
                <c:pt idx="7">
                  <c:v>1.0330987575557922</c:v>
                </c:pt>
                <c:pt idx="8">
                  <c:v>1.0378874379980414</c:v>
                </c:pt>
                <c:pt idx="9">
                  <c:v>1.04266542252114</c:v>
                </c:pt>
                <c:pt idx="10">
                  <c:v>1.0474328179788364</c:v>
                </c:pt>
                <c:pt idx="11">
                  <c:v>1.0521897300147507</c:v>
                </c:pt>
                <c:pt idx="12">
                  <c:v>1.0569362630901293</c:v>
                </c:pt>
                <c:pt idx="13">
                  <c:v>1.0616725205113571</c:v>
                </c:pt>
                <c:pt idx="14">
                  <c:v>1.0663986044572629</c:v>
                </c:pt>
                <c:pt idx="15">
                  <c:v>1.0711146160061888</c:v>
                </c:pt>
                <c:pt idx="16">
                  <c:v>1.0758206551628535</c:v>
                </c:pt>
                <c:pt idx="17">
                  <c:v>1.0805168208850455</c:v>
                </c:pt>
                <c:pt idx="18">
                  <c:v>1.0852032111101022</c:v>
                </c:pt>
                <c:pt idx="19">
                  <c:v>1.0898799227812073</c:v>
                </c:pt>
                <c:pt idx="20">
                  <c:v>1.0945470518735179</c:v>
                </c:pt>
                <c:pt idx="21">
                  <c:v>1.0992046934201196</c:v>
                </c:pt>
                <c:pt idx="22">
                  <c:v>1.1038529415378417</c:v>
                </c:pt>
                <c:pt idx="23">
                  <c:v>1.1084918894528615</c:v>
                </c:pt>
                <c:pt idx="24">
                  <c:v>1.1131216295262183</c:v>
                </c:pt>
                <c:pt idx="25">
                  <c:v>1.1177422532791195</c:v>
                </c:pt>
                <c:pt idx="26">
                  <c:v>1.1223538514181619</c:v>
                </c:pt>
                <c:pt idx="27">
                  <c:v>1.1269565138603637</c:v>
                </c:pt>
                <c:pt idx="28">
                  <c:v>1.1315503297580725</c:v>
                </c:pt>
                <c:pt idx="29">
                  <c:v>1.1361353875237687</c:v>
                </c:pt>
                <c:pt idx="30">
                  <c:v>1.1407117748546867</c:v>
                </c:pt>
                <c:pt idx="31">
                  <c:v>1.1452795787573478</c:v>
                </c:pt>
                <c:pt idx="32">
                  <c:v>1.1498388855719417</c:v>
                </c:pt>
                <c:pt idx="33">
                  <c:v>1.1543897809966124</c:v>
                </c:pt>
                <c:pt idx="34">
                  <c:v>1.1589323501115749</c:v>
                </c:pt>
                <c:pt idx="35">
                  <c:v>1.1634666774031601</c:v>
                </c:pt>
                <c:pt idx="36">
                  <c:v>1.1679928467877141</c:v>
                </c:pt>
                <c:pt idx="37">
                  <c:v>1.1725109416353905</c:v>
                </c:pt>
                <c:pt idx="38">
                  <c:v>1.1770210447938325</c:v>
                </c:pt>
                <c:pt idx="39">
                  <c:v>1.1815232386117198</c:v>
                </c:pt>
                <c:pt idx="40">
                  <c:v>1.1860176049622539</c:v>
                </c:pt>
                <c:pt idx="41">
                  <c:v>1.1905042252665108</c:v>
                </c:pt>
                <c:pt idx="42">
                  <c:v>1.1949831805166804</c:v>
                </c:pt>
                <c:pt idx="43">
                  <c:v>1.1994545512992503</c:v>
                </c:pt>
                <c:pt idx="44">
                  <c:v>1.2039184178180606</c:v>
                </c:pt>
                <c:pt idx="45">
                  <c:v>1.2083748599173161</c:v>
                </c:pt>
                <c:pt idx="46">
                  <c:v>1.2128239571044637</c:v>
                </c:pt>
                <c:pt idx="47">
                  <c:v>1.2172657885730682</c:v>
                </c:pt>
                <c:pt idx="48">
                  <c:v>1.2217004332255654</c:v>
                </c:pt>
                <c:pt idx="49">
                  <c:v>1.2261279696960081</c:v>
                </c:pt>
                <c:pt idx="50">
                  <c:v>1.2305484763727317</c:v>
                </c:pt>
                <c:pt idx="51">
                  <c:v>1.2349620314210044</c:v>
                </c:pt>
                <c:pt idx="52">
                  <c:v>1.2393687128056783</c:v>
                </c:pt>
                <c:pt idx="53">
                  <c:v>1.2437685983137827</c:v>
                </c:pt>
                <c:pt idx="54">
                  <c:v>1.2481617655771764</c:v>
                </c:pt>
                <c:pt idx="55">
                  <c:v>1.2525482920951849</c:v>
                </c:pt>
                <c:pt idx="56">
                  <c:v>1.2569282552572929</c:v>
                </c:pt>
                <c:pt idx="57">
                  <c:v>1.2613017323659015</c:v>
                </c:pt>
                <c:pt idx="58">
                  <c:v>1.2656688006591361</c:v>
                </c:pt>
                <c:pt idx="59">
                  <c:v>1.2700295373337709</c:v>
                </c:pt>
                <c:pt idx="60">
                  <c:v>1.2743840195682636</c:v>
                </c:pt>
                <c:pt idx="61">
                  <c:v>1.2787323245459428</c:v>
                </c:pt>
                <c:pt idx="62">
                  <c:v>1.2830745294783448</c:v>
                </c:pt>
                <c:pt idx="63">
                  <c:v>1.287410711628737</c:v>
                </c:pt>
                <c:pt idx="64">
                  <c:v>1.2917409483359055</c:v>
                </c:pt>
                <c:pt idx="65">
                  <c:v>1.2960653170381302</c:v>
                </c:pt>
                <c:pt idx="66">
                  <c:v>1.3003838952975042</c:v>
                </c:pt>
                <c:pt idx="67">
                  <c:v>1.3046967608245132</c:v>
                </c:pt>
                <c:pt idx="68">
                  <c:v>1.3090039915029932</c:v>
                </c:pt>
                <c:pt idx="69">
                  <c:v>1.3133056654154707</c:v>
                </c:pt>
                <c:pt idx="70">
                  <c:v>1.317601860868918</c:v>
                </c:pt>
                <c:pt idx="71">
                  <c:v>1.3218926564209863</c:v>
                </c:pt>
                <c:pt idx="72">
                  <c:v>1.3261781309067229</c:v>
                </c:pt>
                <c:pt idx="73">
                  <c:v>1.3304583634658542</c:v>
                </c:pt>
                <c:pt idx="74">
                  <c:v>1.334733433570684</c:v>
                </c:pt>
                <c:pt idx="75">
                  <c:v>1.3390034210546007</c:v>
                </c:pt>
                <c:pt idx="76">
                  <c:v>1.3432684061413045</c:v>
                </c:pt>
                <c:pt idx="77">
                  <c:v>1.3475284694747927</c:v>
                </c:pt>
                <c:pt idx="78">
                  <c:v>1.3517836921501578</c:v>
                </c:pt>
                <c:pt idx="79">
                  <c:v>1.3560341557452185</c:v>
                </c:pt>
                <c:pt idx="80">
                  <c:v>1.360279942353138</c:v>
                </c:pt>
                <c:pt idx="81">
                  <c:v>1.364521134616002</c:v>
                </c:pt>
                <c:pt idx="82">
                  <c:v>1.3687578157594846</c:v>
                </c:pt>
                <c:pt idx="83">
                  <c:v>1.3729900696286439</c:v>
                </c:pt>
                <c:pt idx="84">
                  <c:v>1.3772179807249574</c:v>
                </c:pt>
                <c:pt idx="85">
                  <c:v>1.3814416342446256</c:v>
                </c:pt>
                <c:pt idx="86">
                  <c:v>1.3856611161182995</c:v>
                </c:pt>
                <c:pt idx="87">
                  <c:v>1.3898765130522626</c:v>
                </c:pt>
                <c:pt idx="88">
                  <c:v>1.3940879125711925</c:v>
                </c:pt>
                <c:pt idx="89">
                  <c:v>1.3982954030625965</c:v>
                </c:pt>
                <c:pt idx="90">
                  <c:v>1.402499073823037</c:v>
                </c:pt>
                <c:pt idx="91">
                  <c:v>1.4066990151062488</c:v>
                </c:pt>
                <c:pt idx="92">
                  <c:v>1.4108953181732704</c:v>
                </c:pt>
                <c:pt idx="93">
                  <c:v>1.4150880753447392</c:v>
                </c:pt>
                <c:pt idx="94">
                  <c:v>1.4192773800554368</c:v>
                </c:pt>
                <c:pt idx="95">
                  <c:v>1.4234633269113026</c:v>
                </c:pt>
                <c:pt idx="96">
                  <c:v>1.4276460117490095</c:v>
                </c:pt>
                <c:pt idx="97">
                  <c:v>1.4318255316982806</c:v>
                </c:pt>
                <c:pt idx="98">
                  <c:v>1.4360019852471659</c:v>
                </c:pt>
                <c:pt idx="99">
                  <c:v>1.4401754723103841</c:v>
                </c:pt>
                <c:pt idx="100">
                  <c:v>1.4443460943010364</c:v>
                </c:pt>
                <c:pt idx="101">
                  <c:v>1.4485139542058032</c:v>
                </c:pt>
                <c:pt idx="102">
                  <c:v>1.4526791566639645</c:v>
                </c:pt>
                <c:pt idx="103">
                  <c:v>1.4568418080503645</c:v>
                </c:pt>
                <c:pt idx="104">
                  <c:v>1.4610020165627433</c:v>
                </c:pt>
                <c:pt idx="105">
                  <c:v>1.4651598923135647</c:v>
                </c:pt>
                <c:pt idx="106">
                  <c:v>1.4693155474268011</c:v>
                </c:pt>
                <c:pt idx="107">
                  <c:v>1.4734690961398804</c:v>
                </c:pt>
                <c:pt idx="108">
                  <c:v>1.4776206549112711</c:v>
                </c:pt>
                <c:pt idx="109">
                  <c:v>1.4817703425340067</c:v>
                </c:pt>
                <c:pt idx="110">
                  <c:v>1.485918280255641</c:v>
                </c:pt>
                <c:pt idx="111">
                  <c:v>1.4900645919050599</c:v>
                </c:pt>
                <c:pt idx="112">
                  <c:v>1.4942094040266687</c:v>
                </c:pt>
                <c:pt idx="113">
                  <c:v>1.4983528460224789</c:v>
                </c:pt>
                <c:pt idx="114">
                  <c:v>1.5024950503027241</c:v>
                </c:pt>
                <c:pt idx="115">
                  <c:v>1.5066361524456064</c:v>
                </c:pt>
                <c:pt idx="116">
                  <c:v>1.5107762913669194</c:v>
                </c:pt>
                <c:pt idx="117">
                  <c:v>1.5149156095002647</c:v>
                </c:pt>
                <c:pt idx="118">
                  <c:v>1.5190542529888025</c:v>
                </c:pt>
                <c:pt idx="119">
                  <c:v>1.5231923718893097</c:v>
                </c:pt>
                <c:pt idx="120">
                  <c:v>1.5273301203897223</c:v>
                </c:pt>
                <c:pt idx="121">
                  <c:v>1.5314676570411432</c:v>
                </c:pt>
                <c:pt idx="122">
                  <c:v>1.5356051450056101</c:v>
                </c:pt>
                <c:pt idx="123">
                  <c:v>1.5397427523209541</c:v>
                </c:pt>
                <c:pt idx="124">
                  <c:v>1.5438806521842183</c:v>
                </c:pt>
                <c:pt idx="125">
                  <c:v>1.5480190232553297</c:v>
                </c:pt>
                <c:pt idx="126">
                  <c:v>1.5521580499827643</c:v>
                </c:pt>
                <c:pt idx="127">
                  <c:v>1.5562979229533069</c:v>
                </c:pt>
                <c:pt idx="128">
                  <c:v>1.5604388392681021</c:v>
                </c:pt>
                <c:pt idx="129">
                  <c:v>1.5645810029474849</c:v>
                </c:pt>
                <c:pt idx="130">
                  <c:v>1.5687246253674048</c:v>
                </c:pt>
                <c:pt idx="131">
                  <c:v>1.5728699257305281</c:v>
                </c:pt>
                <c:pt idx="132">
                  <c:v>1.5770171315754788</c:v>
                </c:pt>
                <c:pt idx="133">
                  <c:v>1.5811664793281552</c:v>
                </c:pt>
                <c:pt idx="134">
                  <c:v>1.5853182148994596</c:v>
                </c:pt>
                <c:pt idx="135">
                  <c:v>1.5894725943344181</c:v>
                </c:pt>
                <c:pt idx="136">
                  <c:v>1.5936298845181895</c:v>
                </c:pt>
                <c:pt idx="137">
                  <c:v>1.5977903639453366</c:v>
                </c:pt>
                <c:pt idx="138">
                  <c:v>1.6019543235594369</c:v>
                </c:pt>
                <c:pt idx="139">
                  <c:v>1.6061220676711774</c:v>
                </c:pt>
                <c:pt idx="140">
                  <c:v>1.6102939149641531</c:v>
                </c:pt>
                <c:pt idx="141">
                  <c:v>1.6144701995989879</c:v>
                </c:pt>
                <c:pt idx="142">
                  <c:v>1.6186512724278233</c:v>
                </c:pt>
                <c:pt idx="143">
                  <c:v>1.6228375023331132</c:v>
                </c:pt>
                <c:pt idx="144">
                  <c:v>1.6270292777068047</c:v>
                </c:pt>
                <c:pt idx="145">
                  <c:v>1.6312270080883653</c:v>
                </c:pt>
                <c:pt idx="146">
                  <c:v>1.6354311259832701</c:v>
                </c:pt>
                <c:pt idx="147">
                  <c:v>1.6396420888869216</c:v>
                </c:pt>
                <c:pt idx="148">
                  <c:v>1.6438603815433095</c:v>
                </c:pt>
                <c:pt idx="149">
                  <c:v>1.6480865184727305</c:v>
                </c:pt>
                <c:pt idx="150">
                  <c:v>1.6523210468089722</c:v>
                </c:pt>
                <c:pt idx="151">
                  <c:v>1.6565645494937329</c:v>
                </c:pt>
                <c:pt idx="152">
                  <c:v>1.6608176488850588</c:v>
                </c:pt>
                <c:pt idx="153">
                  <c:v>1.6650810108474141</c:v>
                </c:pt>
                <c:pt idx="154">
                  <c:v>1.6693553494046007</c:v>
                </c:pt>
                <c:pt idx="155">
                  <c:v>1.6736414320532316</c:v>
                </c:pt>
                <c:pt idx="156">
                  <c:v>1.6779400858552109</c:v>
                </c:pt>
                <c:pt idx="157">
                  <c:v>1.6822522044535253</c:v>
                </c:pt>
                <c:pt idx="158">
                  <c:v>1.686578756188146</c:v>
                </c:pt>
                <c:pt idx="159">
                  <c:v>1.6909207935303632</c:v>
                </c:pt>
                <c:pt idx="160">
                  <c:v>1.6952794641064792</c:v>
                </c:pt>
                <c:pt idx="161">
                  <c:v>1.6996560236501452</c:v>
                </c:pt>
                <c:pt idx="162">
                  <c:v>1.7040518513111436</c:v>
                </c:pt>
                <c:pt idx="163">
                  <c:v>1.7084684678647315</c:v>
                </c:pt>
                <c:pt idx="164">
                  <c:v>1.7129075575199837</c:v>
                </c:pt>
                <c:pt idx="165">
                  <c:v>1.71737099423242</c:v>
                </c:pt>
                <c:pt idx="166">
                  <c:v>1.7218608737065795</c:v>
                </c:pt>
                <c:pt idx="167">
                  <c:v>1.7263795526598158</c:v>
                </c:pt>
                <c:pt idx="168">
                  <c:v>1.730929697455297</c:v>
                </c:pt>
                <c:pt idx="169">
                  <c:v>1.7355143449715598</c:v>
                </c:pt>
                <c:pt idx="170">
                  <c:v>1.7401369796677459</c:v>
                </c:pt>
                <c:pt idx="171">
                  <c:v>1.7448016324026718</c:v>
                </c:pt>
                <c:pt idx="172">
                  <c:v>1.7495130089554747</c:v>
                </c:pt>
                <c:pt idx="173">
                  <c:v>1.7542766598487338</c:v>
                </c:pt>
                <c:pt idx="174">
                  <c:v>1.7590992088020441</c:v>
                </c:pt>
                <c:pt idx="175">
                  <c:v>1.7639886663841535</c:v>
                </c:pt>
                <c:pt idx="176">
                  <c:v>1.7689548708322569</c:v>
                </c:pt>
                <c:pt idx="177">
                  <c:v>1.7740101246552462</c:v>
                </c:pt>
                <c:pt idx="178">
                  <c:v>1.7791701438017755</c:v>
                </c:pt>
                <c:pt idx="179">
                  <c:v>1.784455527815245</c:v>
                </c:pt>
                <c:pt idx="180">
                  <c:v>1.7898941448404049</c:v>
                </c:pt>
                <c:pt idx="181">
                  <c:v>1.7955252299900819</c:v>
                </c:pt>
                <c:pt idx="182">
                  <c:v>1.8014069663173107</c:v>
                </c:pt>
                <c:pt idx="183">
                  <c:v>1.807631952725014</c:v>
                </c:pt>
                <c:pt idx="184">
                  <c:v>1.8143634396472177</c:v>
                </c:pt>
                <c:pt idx="185">
                  <c:v>1.8219403617818561</c:v>
                </c:pt>
                <c:pt idx="186">
                  <c:v>1.831327767993761</c:v>
                </c:pt>
                <c:pt idx="187">
                  <c:v>1.8618234308231401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IHX!$AB$3:$AB$230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DC5-4C0D-8275-998BAC8F6345}"/>
            </c:ext>
          </c:extLst>
        </c:ser>
        <c:ser>
          <c:idx val="2"/>
          <c:order val="4"/>
          <c:tx>
            <c:strRef>
              <c:f>IHX!$Y$2</c:f>
              <c:strCache>
                <c:ptCount val="1"/>
                <c:pt idx="0">
                  <c:v>T</c:v>
                </c:pt>
              </c:strCache>
            </c:strRef>
          </c:tx>
          <c:marker>
            <c:symbol val="none"/>
          </c:marker>
          <c:xVal>
            <c:numRef>
              <c:f>IHX!$X$3:$X$230</c:f>
              <c:numCache>
                <c:formatCode>General</c:formatCode>
                <c:ptCount val="228"/>
                <c:pt idx="0">
                  <c:v>1.7454097047617863</c:v>
                </c:pt>
                <c:pt idx="1">
                  <c:v>1.7452439723278919</c:v>
                </c:pt>
                <c:pt idx="2">
                  <c:v>1.7450954296239909</c:v>
                </c:pt>
                <c:pt idx="3">
                  <c:v>1.7449637387150259</c:v>
                </c:pt>
                <c:pt idx="4">
                  <c:v>1.7448485673378957</c:v>
                </c:pt>
                <c:pt idx="5">
                  <c:v>1.744749588791072</c:v>
                </c:pt>
                <c:pt idx="6">
                  <c:v>1.7446664818249453</c:v>
                </c:pt>
                <c:pt idx="7">
                  <c:v>1.7445989305328053</c:v>
                </c:pt>
                <c:pt idx="8">
                  <c:v>1.7445466242425101</c:v>
                </c:pt>
                <c:pt idx="9">
                  <c:v>1.7445092574087853</c:v>
                </c:pt>
                <c:pt idx="10">
                  <c:v>1.7444865295061738</c:v>
                </c:pt>
                <c:pt idx="11">
                  <c:v>1.7444781449225826</c:v>
                </c:pt>
                <c:pt idx="12">
                  <c:v>1.7444838128534825</c:v>
                </c:pt>
                <c:pt idx="13">
                  <c:v>1.7445032471966819</c:v>
                </c:pt>
                <c:pt idx="14">
                  <c:v>1.744536166447715</c:v>
                </c:pt>
                <c:pt idx="15">
                  <c:v>1.7445822935958104</c:v>
                </c:pt>
                <c:pt idx="16">
                  <c:v>1.7446413560204608</c:v>
                </c:pt>
                <c:pt idx="17">
                  <c:v>1.7447130853885426</c:v>
                </c:pt>
                <c:pt idx="18">
                  <c:v>1.7447972175520319</c:v>
                </c:pt>
                <c:pt idx="19">
                  <c:v>1.7448934924462645</c:v>
                </c:pt>
                <c:pt idx="20">
                  <c:v>1.7450016539887465</c:v>
                </c:pt>
                <c:pt idx="21">
                  <c:v>1.745121449978533</c:v>
                </c:pt>
                <c:pt idx="22">
                  <c:v>1.7452526319961212</c:v>
                </c:pt>
                <c:pt idx="23">
                  <c:v>1.7453949553038903</c:v>
                </c:pt>
                <c:pt idx="24">
                  <c:v>1.745548178747051</c:v>
                </c:pt>
                <c:pt idx="25">
                  <c:v>1.7457120646551012</c:v>
                </c:pt>
                <c:pt idx="26">
                  <c:v>1.7458863787437831</c:v>
                </c:pt>
                <c:pt idx="27">
                  <c:v>1.7460708900175383</c:v>
                </c:pt>
                <c:pt idx="28">
                  <c:v>1.7462653706723925</c:v>
                </c:pt>
                <c:pt idx="29">
                  <c:v>1.7464695959993441</c:v>
                </c:pt>
                <c:pt idx="30">
                  <c:v>1.7466833442881553</c:v>
                </c:pt>
                <c:pt idx="31">
                  <c:v>1.7469063967315774</c:v>
                </c:pt>
                <c:pt idx="32">
                  <c:v>1.7471385373299742</c:v>
                </c:pt>
                <c:pt idx="33">
                  <c:v>1.7473795527963227</c:v>
                </c:pt>
                <c:pt idx="34">
                  <c:v>1.7476292324615619</c:v>
                </c:pt>
                <c:pt idx="35">
                  <c:v>1.7478873681802882</c:v>
                </c:pt>
                <c:pt idx="36">
                  <c:v>1.7481537542367256</c:v>
                </c:pt>
                <c:pt idx="37">
                  <c:v>1.7484281872509952</c:v>
                </c:pt>
                <c:pt idx="38">
                  <c:v>1.7487104660856125</c:v>
                </c:pt>
                <c:pt idx="39">
                  <c:v>1.7490003917521753</c:v>
                </c:pt>
                <c:pt idx="40">
                  <c:v>1.749297767318257</c:v>
                </c:pt>
                <c:pt idx="41">
                  <c:v>1.7496023978143871</c:v>
                </c:pt>
                <c:pt idx="42">
                  <c:v>1.7499140901411592</c:v>
                </c:pt>
                <c:pt idx="43">
                  <c:v>1.7502326529763415</c:v>
                </c:pt>
                <c:pt idx="44">
                  <c:v>1.7505578966820232</c:v>
                </c:pt>
                <c:pt idx="45">
                  <c:v>1.7508896332116617</c:v>
                </c:pt>
                <c:pt idx="46">
                  <c:v>1.751227676017058</c:v>
                </c:pt>
                <c:pt idx="47">
                  <c:v>1.7515718399551308</c:v>
                </c:pt>
                <c:pt idx="48">
                  <c:v>1.7519219411944811</c:v>
                </c:pt>
                <c:pt idx="49">
                  <c:v>1.7522777971216472</c:v>
                </c:pt>
                <c:pt idx="50">
                  <c:v>1.7526392262470065</c:v>
                </c:pt>
                <c:pt idx="51">
                  <c:v>1.7530060481102161</c:v>
                </c:pt>
                <c:pt idx="52">
                  <c:v>1.7533780831851655</c:v>
                </c:pt>
                <c:pt idx="53">
                  <c:v>1.7537551527843021</c:v>
                </c:pt>
                <c:pt idx="54">
                  <c:v>1.7541370789622843</c:v>
                </c:pt>
                <c:pt idx="55">
                  <c:v>1.7545236844188457</c:v>
                </c:pt>
                <c:pt idx="56">
                  <c:v>1.7549147924007877</c:v>
                </c:pt>
                <c:pt idx="57">
                  <c:v>1.7553102266029692</c:v>
                </c:pt>
                <c:pt idx="58">
                  <c:v>1.7557098110682272</c:v>
                </c:pt>
                <c:pt idx="59">
                  <c:v>1.7561133700860598</c:v>
                </c:pt>
                <c:pt idx="60">
                  <c:v>1.7565207280899944</c:v>
                </c:pt>
                <c:pt idx="61">
                  <c:v>1.75693170955347</c:v>
                </c:pt>
                <c:pt idx="62">
                  <c:v>1.7573461388841234</c:v>
                </c:pt>
                <c:pt idx="63">
                  <c:v>1.7577638403163134</c:v>
                </c:pt>
                <c:pt idx="64">
                  <c:v>1.7581846378017356</c:v>
                </c:pt>
                <c:pt idx="65">
                  <c:v>1.7586083548979556</c:v>
                </c:pt>
                <c:pt idx="66">
                  <c:v>1.7590348146546844</c:v>
                </c:pt>
                <c:pt idx="67">
                  <c:v>1.7594638394976234</c:v>
                </c:pt>
                <c:pt idx="68">
                  <c:v>1.7598952511096366</c:v>
                </c:pt>
                <c:pt idx="69">
                  <c:v>1.7603288703090998</c:v>
                </c:pt>
                <c:pt idx="70">
                  <c:v>1.7607645169251565</c:v>
                </c:pt>
                <c:pt idx="71">
                  <c:v>1.7612020096696366</c:v>
                </c:pt>
                <c:pt idx="72">
                  <c:v>1.7616411660054216</c:v>
                </c:pt>
                <c:pt idx="73">
                  <c:v>1.7620818020109525</c:v>
                </c:pt>
                <c:pt idx="74">
                  <c:v>1.7625237322405878</c:v>
                </c:pt>
                <c:pt idx="75">
                  <c:v>1.7629667695805267</c:v>
                </c:pt>
                <c:pt idx="76">
                  <c:v>1.7634107250999391</c:v>
                </c:pt>
                <c:pt idx="77">
                  <c:v>1.7638554078969617</c:v>
                </c:pt>
                <c:pt idx="78">
                  <c:v>1.7643006249391882</c:v>
                </c:pt>
                <c:pt idx="79">
                  <c:v>1.7647461808982305</c:v>
                </c:pt>
                <c:pt idx="80">
                  <c:v>1.765191877977935</c:v>
                </c:pt>
                <c:pt idx="81">
                  <c:v>1.7656375157357678</c:v>
                </c:pt>
                <c:pt idx="82">
                  <c:v>1.7660828908968944</c:v>
                </c:pt>
                <c:pt idx="83">
                  <c:v>1.7665277971603934</c:v>
                </c:pt>
                <c:pt idx="84">
                  <c:v>1.7669720249970484</c:v>
                </c:pt>
                <c:pt idx="85">
                  <c:v>1.7674153614380719</c:v>
                </c:pt>
                <c:pt idx="86">
                  <c:v>1.7678575898541224</c:v>
                </c:pt>
                <c:pt idx="87">
                  <c:v>1.7682984897238663</c:v>
                </c:pt>
                <c:pt idx="88">
                  <c:v>1.7687378363913209</c:v>
                </c:pt>
                <c:pt idx="89">
                  <c:v>1.7691754008111384</c:v>
                </c:pt>
                <c:pt idx="90">
                  <c:v>1.7696109492809071</c:v>
                </c:pt>
                <c:pt idx="91">
                  <c:v>1.7700442431595043</c:v>
                </c:pt>
                <c:pt idx="92">
                  <c:v>1.7704750385704127</c:v>
                </c:pt>
                <c:pt idx="93">
                  <c:v>1.7709030860888619</c:v>
                </c:pt>
                <c:pt idx="94">
                  <c:v>1.771328130411514</c:v>
                </c:pt>
                <c:pt idx="95">
                  <c:v>1.7717499100073502</c:v>
                </c:pt>
                <c:pt idx="96">
                  <c:v>1.7721681567482219</c:v>
                </c:pt>
                <c:pt idx="97">
                  <c:v>1.7725825955175092</c:v>
                </c:pt>
                <c:pt idx="98">
                  <c:v>1.7729929437950387</c:v>
                </c:pt>
                <c:pt idx="99">
                  <c:v>1.77339891121636</c:v>
                </c:pt>
                <c:pt idx="100">
                  <c:v>1.7738001991042498</c:v>
                </c:pt>
                <c:pt idx="101">
                  <c:v>1.7741964999701019</c:v>
                </c:pt>
                <c:pt idx="102">
                  <c:v>1.7745874969826536</c:v>
                </c:pt>
                <c:pt idx="103">
                  <c:v>1.7749728634012232</c:v>
                </c:pt>
                <c:pt idx="104">
                  <c:v>1.7753522619703912</c:v>
                </c:pt>
                <c:pt idx="105">
                  <c:v>1.7757253442726557</c:v>
                </c:pt>
                <c:pt idx="106">
                  <c:v>1.7760917500353401</c:v>
                </c:pt>
                <c:pt idx="107">
                  <c:v>1.7764511063875457</c:v>
                </c:pt>
                <c:pt idx="108">
                  <c:v>1.7768030270625292</c:v>
                </c:pt>
                <c:pt idx="109">
                  <c:v>1.7771471115403554</c:v>
                </c:pt>
                <c:pt idx="110">
                  <c:v>1.7774829441251319</c:v>
                </c:pt>
                <c:pt idx="111">
                  <c:v>1.7778100929504144</c:v>
                </c:pt>
                <c:pt idx="112">
                  <c:v>1.7781281089057066</c:v>
                </c:pt>
                <c:pt idx="113">
                  <c:v>1.7784365244760545</c:v>
                </c:pt>
                <c:pt idx="114">
                  <c:v>1.7787348524858244</c:v>
                </c:pt>
                <c:pt idx="115">
                  <c:v>1.7790225847366297</c:v>
                </c:pt>
                <c:pt idx="116">
                  <c:v>1.7792991905281048</c:v>
                </c:pt>
                <c:pt idx="117">
                  <c:v>1.779564115048728</c:v>
                </c:pt>
                <c:pt idx="118">
                  <c:v>1.779816777622315</c:v>
                </c:pt>
                <c:pt idx="119">
                  <c:v>1.7800565697937323</c:v>
                </c:pt>
                <c:pt idx="120">
                  <c:v>1.7802828532352128</c:v>
                </c:pt>
                <c:pt idx="121">
                  <c:v>1.7804949574520157</c:v>
                </c:pt>
                <c:pt idx="122">
                  <c:v>1.7806921772630595</c:v>
                </c:pt>
                <c:pt idx="123">
                  <c:v>1.7808737700286199</c:v>
                </c:pt>
                <c:pt idx="124">
                  <c:v>1.7810389525929595</c:v>
                </c:pt>
                <c:pt idx="125">
                  <c:v>1.7811868979047438</c:v>
                </c:pt>
                <c:pt idx="126">
                  <c:v>1.7813167312721887</c:v>
                </c:pt>
                <c:pt idx="127">
                  <c:v>1.7814275262029899</c:v>
                </c:pt>
                <c:pt idx="128">
                  <c:v>1.7815182997705039</c:v>
                </c:pt>
                <c:pt idx="129">
                  <c:v>1.7815880074377937</c:v>
                </c:pt>
                <c:pt idx="130">
                  <c:v>1.7816355372589621</c:v>
                </c:pt>
                <c:pt idx="131">
                  <c:v>1.781659703362541</c:v>
                </c:pt>
                <c:pt idx="132">
                  <c:v>1.7816592386038583</c:v>
                </c:pt>
                <c:pt idx="133">
                  <c:v>1.7816327862515684</c:v>
                </c:pt>
                <c:pt idx="134">
                  <c:v>1.7815788905465797</c:v>
                </c:pt>
                <c:pt idx="135">
                  <c:v>1.781495985938494</c:v>
                </c:pt>
                <c:pt idx="136">
                  <c:v>1.7813823847632333</c:v>
                </c:pt>
                <c:pt idx="137">
                  <c:v>1.7812362630737861</c:v>
                </c:pt>
                <c:pt idx="138">
                  <c:v>1.7810556442704455</c:v>
                </c:pt>
                <c:pt idx="139">
                  <c:v>1.7808383800938807</c:v>
                </c:pt>
                <c:pt idx="140">
                  <c:v>1.7805821284375538</c:v>
                </c:pt>
                <c:pt idx="141">
                  <c:v>1.7802843272984028</c:v>
                </c:pt>
                <c:pt idx="142">
                  <c:v>1.7799421640048965</c:v>
                </c:pt>
                <c:pt idx="143">
                  <c:v>1.7795525386250637</c:v>
                </c:pt>
                <c:pt idx="144">
                  <c:v>1.7791120201425861</c:v>
                </c:pt>
                <c:pt idx="145">
                  <c:v>1.7786167935658663</c:v>
                </c:pt>
                <c:pt idx="146">
                  <c:v>1.7780625955592357</c:v>
                </c:pt>
                <c:pt idx="147">
                  <c:v>1.7774446353918021</c:v>
                </c:pt>
                <c:pt idx="148">
                  <c:v>1.776757496889402</c:v>
                </c:pt>
                <c:pt idx="149">
                  <c:v>1.775995015499457</c:v>
                </c:pt>
                <c:pt idx="150">
                  <c:v>1.7751501223031105</c:v>
                </c:pt>
                <c:pt idx="151">
                  <c:v>1.7742146434618915</c:v>
                </c:pt>
                <c:pt idx="152">
                  <c:v>1.773179038559739</c:v>
                </c:pt>
                <c:pt idx="153">
                  <c:v>1.7720320535783629</c:v>
                </c:pt>
                <c:pt idx="154">
                  <c:v>1.7707602520665813</c:v>
                </c:pt>
                <c:pt idx="155">
                  <c:v>1.7693473682966543</c:v>
                </c:pt>
                <c:pt idx="156">
                  <c:v>1.7677733930231911</c:v>
                </c:pt>
                <c:pt idx="157">
                  <c:v>1.7660132445969654</c:v>
                </c:pt>
                <c:pt idx="158">
                  <c:v>1.7640347726465597</c:v>
                </c:pt>
                <c:pt idx="159">
                  <c:v>1.7617956385578011</c:v>
                </c:pt>
                <c:pt idx="160">
                  <c:v>1.7592382008346104</c:v>
                </c:pt>
                <c:pt idx="161">
                  <c:v>1.7562806104196662</c:v>
                </c:pt>
                <c:pt idx="162">
                  <c:v>1.7528000589997077</c:v>
                </c:pt>
                <c:pt idx="163">
                  <c:v>1.7485977986326353</c:v>
                </c:pt>
                <c:pt idx="164">
                  <c:v>1.7433142745833841</c:v>
                </c:pt>
                <c:pt idx="165">
                  <c:v>1.7361672413554856</c:v>
                </c:pt>
                <c:pt idx="166">
                  <c:v>1.7246268756233929</c:v>
                </c:pt>
              </c:numCache>
            </c:numRef>
          </c:xVal>
          <c:yVal>
            <c:numRef>
              <c:f>IHX!$Y$3:$Y$230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DC5-4C0D-8275-998BAC8F6345}"/>
            </c:ext>
          </c:extLst>
        </c:ser>
        <c:ser>
          <c:idx val="3"/>
          <c:order val="5"/>
          <c:marker>
            <c:symbol val="none"/>
          </c:marker>
          <c:xVal>
            <c:numRef>
              <c:f>IHX!$W$3:$W$230</c:f>
              <c:numCache>
                <c:formatCode>General</c:formatCode>
                <c:ptCount val="228"/>
                <c:pt idx="0">
                  <c:v>0.99935383812074075</c:v>
                </c:pt>
                <c:pt idx="1">
                  <c:v>1.0036571124029343</c:v>
                </c:pt>
                <c:pt idx="2">
                  <c:v>1.007949921588732</c:v>
                </c:pt>
                <c:pt idx="3">
                  <c:v>1.0122323565496221</c:v>
                </c:pt>
                <c:pt idx="4">
                  <c:v>1.0165045076500987</c:v>
                </c:pt>
                <c:pt idx="5">
                  <c:v>1.0207664647681178</c:v>
                </c:pt>
                <c:pt idx="6">
                  <c:v>1.025018317315169</c:v>
                </c:pt>
                <c:pt idx="7">
                  <c:v>1.0292601542559727</c:v>
                </c:pt>
                <c:pt idx="8">
                  <c:v>1.0334920641278504</c:v>
                </c:pt>
                <c:pt idx="9">
                  <c:v>1.0377141350597896</c:v>
                </c:pt>
                <c:pt idx="10">
                  <c:v>1.0419264547912337</c:v>
                </c:pt>
                <c:pt idx="11">
                  <c:v>1.0461291106906001</c:v>
                </c:pt>
                <c:pt idx="12">
                  <c:v>1.0503221897736099</c:v>
                </c:pt>
                <c:pt idx="13">
                  <c:v>1.0545057787213796</c:v>
                </c:pt>
                <c:pt idx="14">
                  <c:v>1.0586799638983757</c:v>
                </c:pt>
                <c:pt idx="15">
                  <c:v>1.0628448313701864</c:v>
                </c:pt>
                <c:pt idx="16">
                  <c:v>1.0670004669212028</c:v>
                </c:pt>
                <c:pt idx="17">
                  <c:v>1.0711469560721758</c:v>
                </c:pt>
                <c:pt idx="18">
                  <c:v>1.0752843840977115</c:v>
                </c:pt>
                <c:pt idx="19">
                  <c:v>1.0794128360437187</c:v>
                </c:pt>
                <c:pt idx="20">
                  <c:v>1.0835323967448098</c:v>
                </c:pt>
                <c:pt idx="21">
                  <c:v>1.0876431508417204</c:v>
                </c:pt>
                <c:pt idx="22">
                  <c:v>1.0917451827987306</c:v>
                </c:pt>
                <c:pt idx="23">
                  <c:v>1.0958385769211378</c:v>
                </c:pt>
                <c:pt idx="24">
                  <c:v>1.0999234173727939</c:v>
                </c:pt>
                <c:pt idx="25">
                  <c:v>1.1039997881937191</c:v>
                </c:pt>
                <c:pt idx="26">
                  <c:v>1.1080677733178383</c:v>
                </c:pt>
                <c:pt idx="27">
                  <c:v>1.112127456590849</c:v>
                </c:pt>
                <c:pt idx="28">
                  <c:v>1.1161789217882361</c:v>
                </c:pt>
                <c:pt idx="29">
                  <c:v>1.1202222526334802</c:v>
                </c:pt>
                <c:pt idx="30">
                  <c:v>1.1242575328164468</c:v>
                </c:pt>
                <c:pt idx="31">
                  <c:v>1.1282848460120287</c:v>
                </c:pt>
                <c:pt idx="32">
                  <c:v>1.1323042758990149</c:v>
                </c:pt>
                <c:pt idx="33">
                  <c:v>1.1363159061792447</c:v>
                </c:pt>
                <c:pt idx="34">
                  <c:v>1.1403198205970508</c:v>
                </c:pt>
                <c:pt idx="35">
                  <c:v>1.1443161029590414</c:v>
                </c:pt>
                <c:pt idx="36">
                  <c:v>1.1483048371542033</c:v>
                </c:pt>
                <c:pt idx="37">
                  <c:v>1.152286107174415</c:v>
                </c:pt>
                <c:pt idx="38">
                  <c:v>1.1562599971353227</c:v>
                </c:pt>
                <c:pt idx="39">
                  <c:v>1.1602265912976704</c:v>
                </c:pt>
                <c:pt idx="40">
                  <c:v>1.1641859740890776</c:v>
                </c:pt>
                <c:pt idx="41">
                  <c:v>1.1681382301262944</c:v>
                </c:pt>
                <c:pt idx="42">
                  <c:v>1.1720834442379842</c:v>
                </c:pt>
                <c:pt idx="43">
                  <c:v>1.1760217014880414</c:v>
                </c:pt>
                <c:pt idx="44">
                  <c:v>1.1799530871994934</c:v>
                </c:pt>
                <c:pt idx="45">
                  <c:v>1.1838776869789995</c:v>
                </c:pt>
                <c:pt idx="46">
                  <c:v>1.1877955867420156</c:v>
                </c:pt>
                <c:pt idx="47">
                  <c:v>1.1917068727386215</c:v>
                </c:pt>
                <c:pt idx="48">
                  <c:v>1.1956116315800682</c:v>
                </c:pt>
                <c:pt idx="49">
                  <c:v>1.1995099502660949</c:v>
                </c:pt>
                <c:pt idx="50">
                  <c:v>1.2034019162130283</c:v>
                </c:pt>
                <c:pt idx="51">
                  <c:v>1.2072876172827212</c:v>
                </c:pt>
                <c:pt idx="52">
                  <c:v>1.2111671418124004</c:v>
                </c:pt>
                <c:pt idx="53">
                  <c:v>1.2150405786454082</c:v>
                </c:pt>
                <c:pt idx="54">
                  <c:v>1.2189080171629554</c:v>
                </c:pt>
                <c:pt idx="55">
                  <c:v>1.2227695473168991</c:v>
                </c:pt>
                <c:pt idx="56">
                  <c:v>1.2266252596635954</c:v>
                </c:pt>
                <c:pt idx="57">
                  <c:v>1.2304752453989167</c:v>
                </c:pt>
                <c:pt idx="58">
                  <c:v>1.2343195963944575</c:v>
                </c:pt>
                <c:pt idx="59">
                  <c:v>1.2381584052350196</c:v>
                </c:pt>
                <c:pt idx="60">
                  <c:v>1.2419917652574359</c:v>
                </c:pt>
                <c:pt idx="61">
                  <c:v>1.2458197705907987</c:v>
                </c:pt>
                <c:pt idx="62">
                  <c:v>1.2496425161981703</c:v>
                </c:pt>
                <c:pt idx="63">
                  <c:v>1.253460097919872</c:v>
                </c:pt>
                <c:pt idx="64">
                  <c:v>1.2572726125184119</c:v>
                </c:pt>
                <c:pt idx="65">
                  <c:v>1.2610801577251685</c:v>
                </c:pt>
                <c:pt idx="66">
                  <c:v>1.2648828322888912</c:v>
                </c:pt>
                <c:pt idx="67">
                  <c:v>1.2686807360261754</c:v>
                </c:pt>
                <c:pt idx="68">
                  <c:v>1.2724739698739582</c:v>
                </c:pt>
                <c:pt idx="69">
                  <c:v>1.276262635944196</c:v>
                </c:pt>
                <c:pt idx="70">
                  <c:v>1.2800468375808449</c:v>
                </c:pt>
                <c:pt idx="71">
                  <c:v>1.2838266794192421</c:v>
                </c:pt>
                <c:pt idx="72">
                  <c:v>1.2876022674480709</c:v>
                </c:pt>
                <c:pt idx="73">
                  <c:v>1.2913737090740509</c:v>
                </c:pt>
                <c:pt idx="74">
                  <c:v>1.295141113189485</c:v>
                </c:pt>
                <c:pt idx="75">
                  <c:v>1.2989045902428917</c:v>
                </c:pt>
                <c:pt idx="76">
                  <c:v>1.3026642523128524</c:v>
                </c:pt>
                <c:pt idx="77">
                  <c:v>1.3064202131853251</c:v>
                </c:pt>
                <c:pt idx="78">
                  <c:v>1.3101725884345881</c:v>
                </c:pt>
                <c:pt idx="79">
                  <c:v>1.313921495508096</c:v>
                </c:pt>
                <c:pt idx="80">
                  <c:v>1.3176670538154613</c:v>
                </c:pt>
                <c:pt idx="81">
                  <c:v>1.3214093848218289</c:v>
                </c:pt>
                <c:pt idx="82">
                  <c:v>1.3251486121459628</c:v>
                </c:pt>
                <c:pt idx="83">
                  <c:v>1.3288848616633187</c:v>
                </c:pt>
                <c:pt idx="84">
                  <c:v>1.3326182616144591</c:v>
                </c:pt>
                <c:pt idx="85">
                  <c:v>1.3363489427191748</c:v>
                </c:pt>
                <c:pt idx="86">
                  <c:v>1.3400770382966898</c:v>
                </c:pt>
                <c:pt idx="87">
                  <c:v>1.3438026843923925</c:v>
                </c:pt>
                <c:pt idx="88">
                  <c:v>1.3475260199115398</c:v>
                </c:pt>
                <c:pt idx="89">
                  <c:v>1.3512471867604432</c:v>
                </c:pt>
                <c:pt idx="90">
                  <c:v>1.3549663299956802</c:v>
                </c:pt>
                <c:pt idx="91">
                  <c:v>1.3586835979819074</c:v>
                </c:pt>
                <c:pt idx="92">
                  <c:v>1.3623991425589403</c:v>
                </c:pt>
                <c:pt idx="93">
                  <c:v>1.366113119218791</c:v>
                </c:pt>
                <c:pt idx="94">
                  <c:v>1.3698256872934167</c:v>
                </c:pt>
                <c:pt idx="95">
                  <c:v>1.3735370101540452</c:v>
                </c:pt>
                <c:pt idx="96">
                  <c:v>1.3772472554229509</c:v>
                </c:pt>
                <c:pt idx="97">
                  <c:v>1.3809565951987335</c:v>
                </c:pt>
                <c:pt idx="98">
                  <c:v>1.3846652062961544</c:v>
                </c:pt>
                <c:pt idx="99">
                  <c:v>1.3883732705017666</c:v>
                </c:pt>
                <c:pt idx="100">
                  <c:v>1.3920809748466492</c:v>
                </c:pt>
                <c:pt idx="101">
                  <c:v>1.395788511897728</c:v>
                </c:pt>
                <c:pt idx="102">
                  <c:v>1.3994960800692851</c:v>
                </c:pt>
                <c:pt idx="103">
                  <c:v>1.4032038839564369</c:v>
                </c:pt>
                <c:pt idx="104">
                  <c:v>1.4069121346925726</c:v>
                </c:pt>
                <c:pt idx="105">
                  <c:v>1.4106210503329268</c:v>
                </c:pt>
                <c:pt idx="106">
                  <c:v>1.4143308562667165</c:v>
                </c:pt>
                <c:pt idx="107">
                  <c:v>1.4180417856605523</c:v>
                </c:pt>
                <c:pt idx="108">
                  <c:v>1.421754079936125</c:v>
                </c:pt>
                <c:pt idx="109">
                  <c:v>1.4254679892855344</c:v>
                </c:pt>
                <c:pt idx="110">
                  <c:v>1.4291837732280082</c:v>
                </c:pt>
                <c:pt idx="111">
                  <c:v>1.4329017012122216</c:v>
                </c:pt>
                <c:pt idx="112">
                  <c:v>1.4366220532689484</c:v>
                </c:pt>
                <c:pt idx="113">
                  <c:v>1.4403451207193387</c:v>
                </c:pt>
                <c:pt idx="114">
                  <c:v>1.4440712069448318</c:v>
                </c:pt>
                <c:pt idx="115">
                  <c:v>1.4478006282254461</c:v>
                </c:pt>
                <c:pt idx="116">
                  <c:v>1.4515337146541378</c:v>
                </c:pt>
                <c:pt idx="117">
                  <c:v>1.4552708111358765</c:v>
                </c:pt>
                <c:pt idx="118">
                  <c:v>1.4590122784813726</c:v>
                </c:pt>
                <c:pt idx="119">
                  <c:v>1.4627584946067025</c:v>
                </c:pt>
                <c:pt idx="120">
                  <c:v>1.4665098558517549</c:v>
                </c:pt>
                <c:pt idx="121">
                  <c:v>1.4702667784322663</c:v>
                </c:pt>
                <c:pt idx="122">
                  <c:v>1.4740297000424785</c:v>
                </c:pt>
                <c:pt idx="123">
                  <c:v>1.4777990816280131</c:v>
                </c:pt>
                <c:pt idx="124">
                  <c:v>1.4815754093516875</c:v>
                </c:pt>
                <c:pt idx="125">
                  <c:v>1.4853591967785957</c:v>
                </c:pt>
                <c:pt idx="126">
                  <c:v>1.4891509873111239</c:v>
                </c:pt>
                <c:pt idx="127">
                  <c:v>1.4929513569097939</c:v>
                </c:pt>
                <c:pt idx="128">
                  <c:v>1.4967609171419463</c:v>
                </c:pt>
                <c:pt idx="129">
                  <c:v>1.5005803186077911</c:v>
                </c:pt>
                <c:pt idx="130">
                  <c:v>1.5044102548023932</c:v>
                </c:pt>
                <c:pt idx="131">
                  <c:v>1.5082514664830589</c:v>
                </c:pt>
                <c:pt idx="132">
                  <c:v>1.5121047466250273</c:v>
                </c:pt>
                <c:pt idx="133">
                  <c:v>1.5159709460647892</c:v>
                </c:pt>
                <c:pt idx="134">
                  <c:v>1.5198509799506008</c:v>
                </c:pt>
                <c:pt idx="135">
                  <c:v>1.5237458351449489</c:v>
                </c:pt>
                <c:pt idx="136">
                  <c:v>1.5276565787551482</c:v>
                </c:pt>
                <c:pt idx="137">
                  <c:v>1.5315843680077781</c:v>
                </c:pt>
                <c:pt idx="138">
                  <c:v>1.5355304617326928</c:v>
                </c:pt>
                <c:pt idx="139">
                  <c:v>1.5394962337861589</c:v>
                </c:pt>
                <c:pt idx="140">
                  <c:v>1.5434831888247296</c:v>
                </c:pt>
                <c:pt idx="141">
                  <c:v>1.5474929809478202</c:v>
                </c:pt>
                <c:pt idx="142">
                  <c:v>1.5515274358660895</c:v>
                </c:pt>
                <c:pt idx="143">
                  <c:v>1.5555885774365181</c:v>
                </c:pt>
                <c:pt idx="144">
                  <c:v>1.5596786596503731</c:v>
                </c:pt>
                <c:pt idx="145">
                  <c:v>1.5638002054912665</c:v>
                </c:pt>
                <c:pt idx="146">
                  <c:v>1.5679560545327833</c:v>
                </c:pt>
                <c:pt idx="147">
                  <c:v>1.5721494217710987</c:v>
                </c:pt>
                <c:pt idx="148">
                  <c:v>1.5763839710668965</c:v>
                </c:pt>
                <c:pt idx="149">
                  <c:v>1.5806639078244011</c:v>
                </c:pt>
                <c:pt idx="150">
                  <c:v>1.5849940973538441</c:v>
                </c:pt>
                <c:pt idx="151">
                  <c:v>1.5893802180526375</c:v>
                </c:pt>
                <c:pt idx="152">
                  <c:v>1.5938289626003692</c:v>
                </c:pt>
                <c:pt idx="153">
                  <c:v>1.5983483066377104</c:v>
                </c:pt>
                <c:pt idx="154">
                  <c:v>1.6029478743559193</c:v>
                </c:pt>
                <c:pt idx="155">
                  <c:v>1.6076394466979418</c:v>
                </c:pt>
                <c:pt idx="156">
                  <c:v>1.612437685389551</c:v>
                </c:pt>
                <c:pt idx="157">
                  <c:v>1.6173611943994382</c:v>
                </c:pt>
                <c:pt idx="158">
                  <c:v>1.6224341294517362</c:v>
                </c:pt>
                <c:pt idx="159">
                  <c:v>1.6276887390978472</c:v>
                </c:pt>
                <c:pt idx="160">
                  <c:v>1.6331695790984819</c:v>
                </c:pt>
                <c:pt idx="161">
                  <c:v>1.6389409459654878</c:v>
                </c:pt>
                <c:pt idx="162">
                  <c:v>1.6451010727956192</c:v>
                </c:pt>
                <c:pt idx="163">
                  <c:v>1.6518123014955362</c:v>
                </c:pt>
                <c:pt idx="164">
                  <c:v>1.6593758699874803</c:v>
                </c:pt>
                <c:pt idx="165">
                  <c:v>1.6684690487033711</c:v>
                </c:pt>
                <c:pt idx="166">
                  <c:v>1.6813913222963466</c:v>
                </c:pt>
              </c:numCache>
            </c:numRef>
          </c:xVal>
          <c:yVal>
            <c:numRef>
              <c:f>IHX!$Y$3:$Y$230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DC5-4C0D-8275-998BAC8F6345}"/>
            </c:ext>
          </c:extLst>
        </c:ser>
        <c:ser>
          <c:idx val="0"/>
          <c:order val="6"/>
          <c:tx>
            <c:strRef>
              <c:f>IHX!$Y$2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IHX!$AA$3:$AA$230</c:f>
              <c:numCache>
                <c:formatCode>General</c:formatCode>
                <c:ptCount val="228"/>
                <c:pt idx="0">
                  <c:v>1.755036854857956</c:v>
                </c:pt>
                <c:pt idx="1">
                  <c:v>1.7555844586282094</c:v>
                </c:pt>
                <c:pt idx="2">
                  <c:v>1.756149970091252</c:v>
                </c:pt>
                <c:pt idx="3">
                  <c:v>1.756733034473817</c:v>
                </c:pt>
                <c:pt idx="4">
                  <c:v>1.7573333011158763</c:v>
                </c:pt>
                <c:pt idx="5">
                  <c:v>1.7579504234249237</c:v>
                </c:pt>
                <c:pt idx="6">
                  <c:v>1.7585840588389152</c:v>
                </c:pt>
                <c:pt idx="7">
                  <c:v>1.7592338687976699</c:v>
                </c:pt>
                <c:pt idx="8">
                  <c:v>1.7598995187226276</c:v>
                </c:pt>
                <c:pt idx="9">
                  <c:v>1.7605806780046054</c:v>
                </c:pt>
                <c:pt idx="10">
                  <c:v>1.7612770199993437</c:v>
                </c:pt>
                <c:pt idx="11">
                  <c:v>1.7619882220304972</c:v>
                </c:pt>
                <c:pt idx="12">
                  <c:v>1.7627139653996766</c:v>
                </c:pt>
                <c:pt idx="13">
                  <c:v>1.7634539354032286</c:v>
                </c:pt>
                <c:pt idx="14">
                  <c:v>1.7642078213552397</c:v>
                </c:pt>
                <c:pt idx="15">
                  <c:v>1.7649753166163393</c:v>
                </c:pt>
                <c:pt idx="16">
                  <c:v>1.7657561186278603</c:v>
                </c:pt>
                <c:pt idx="17">
                  <c:v>1.7665499289507529</c:v>
                </c:pt>
                <c:pt idx="18">
                  <c:v>1.767356453308732</c:v>
                </c:pt>
                <c:pt idx="19">
                  <c:v>1.7681754016352003</c:v>
                </c:pt>
                <c:pt idx="20">
                  <c:v>1.7690064881231771</c:v>
                </c:pt>
                <c:pt idx="21">
                  <c:v>1.7698494312778001</c:v>
                </c:pt>
                <c:pt idx="22">
                  <c:v>1.7707039539707101</c:v>
                </c:pt>
                <c:pt idx="23">
                  <c:v>1.7715697834956821</c:v>
                </c:pt>
                <c:pt idx="24">
                  <c:v>1.7724466516249739</c:v>
                </c:pt>
                <c:pt idx="25">
                  <c:v>1.7733342946656077</c:v>
                </c:pt>
                <c:pt idx="26">
                  <c:v>1.7742324535151146</c:v>
                </c:pt>
                <c:pt idx="27">
                  <c:v>1.7751408737160079</c:v>
                </c:pt>
                <c:pt idx="28">
                  <c:v>1.7760593055084377</c:v>
                </c:pt>
                <c:pt idx="29">
                  <c:v>1.7769875038802976</c:v>
                </c:pt>
                <c:pt idx="30">
                  <c:v>1.7779252286144376</c:v>
                </c:pt>
                <c:pt idx="31">
                  <c:v>1.7788722443320961</c:v>
                </c:pt>
                <c:pt idx="32">
                  <c:v>1.7798283205322114</c:v>
                </c:pt>
                <c:pt idx="33">
                  <c:v>1.7807932316260313</c:v>
                </c:pt>
                <c:pt idx="34">
                  <c:v>1.7817667569664328</c:v>
                </c:pt>
                <c:pt idx="35">
                  <c:v>1.7827486808716058</c:v>
                </c:pt>
                <c:pt idx="36">
                  <c:v>1.7837387926424801</c:v>
                </c:pt>
                <c:pt idx="37">
                  <c:v>1.7847368865736433</c:v>
                </c:pt>
                <c:pt idx="38">
                  <c:v>1.7857427619572492</c:v>
                </c:pt>
                <c:pt idx="39">
                  <c:v>1.7867562230795766</c:v>
                </c:pt>
                <c:pt idx="40">
                  <c:v>1.7877770792100005</c:v>
                </c:pt>
                <c:pt idx="41">
                  <c:v>1.7888051445819826</c:v>
                </c:pt>
                <c:pt idx="42">
                  <c:v>1.7898402383659384</c:v>
                </c:pt>
                <c:pt idx="43">
                  <c:v>1.7908821846337262</c:v>
                </c:pt>
                <c:pt idx="44">
                  <c:v>1.7919308123146058</c:v>
                </c:pt>
                <c:pt idx="45">
                  <c:v>1.7929859551425702</c:v>
                </c:pt>
                <c:pt idx="46">
                  <c:v>1.7940474515949405</c:v>
                </c:pt>
                <c:pt idx="47">
                  <c:v>1.7951151448221967</c:v>
                </c:pt>
                <c:pt idx="48">
                  <c:v>1.7961888825690377</c:v>
                </c:pt>
                <c:pt idx="49">
                  <c:v>1.7972685170867284</c:v>
                </c:pt>
                <c:pt idx="50">
                  <c:v>1.7983539050367732</c:v>
                </c:pt>
                <c:pt idx="51">
                  <c:v>1.7994449073860488</c:v>
                </c:pt>
                <c:pt idx="52">
                  <c:v>1.8005413892935616</c:v>
                </c:pt>
                <c:pt idx="53">
                  <c:v>1.8016432199889745</c:v>
                </c:pt>
                <c:pt idx="54">
                  <c:v>1.8027502726431532</c:v>
                </c:pt>
                <c:pt idx="55">
                  <c:v>1.8038624242309336</c:v>
                </c:pt>
                <c:pt idx="56">
                  <c:v>1.8049795553864534</c:v>
                </c:pt>
                <c:pt idx="57">
                  <c:v>1.8061015502512816</c:v>
                </c:pt>
                <c:pt idx="58">
                  <c:v>1.8072282963157174</c:v>
                </c:pt>
                <c:pt idx="59">
                  <c:v>1.8083596842535776</c:v>
                </c:pt>
                <c:pt idx="60">
                  <c:v>1.8094956077508766</c:v>
                </c:pt>
                <c:pt idx="61">
                  <c:v>1.8106359633287674</c:v>
                </c:pt>
                <c:pt idx="62">
                  <c:v>1.8117806501611151</c:v>
                </c:pt>
                <c:pt idx="63">
                  <c:v>1.8129295698872394</c:v>
                </c:pt>
                <c:pt idx="64">
                  <c:v>1.8140826264200662</c:v>
                </c:pt>
                <c:pt idx="65">
                  <c:v>1.8152397257503052</c:v>
                </c:pt>
                <c:pt idx="66">
                  <c:v>1.8164007757469809</c:v>
                </c:pt>
                <c:pt idx="67">
                  <c:v>1.8175656859548082</c:v>
                </c:pt>
                <c:pt idx="68">
                  <c:v>1.8187343673888607</c:v>
                </c:pt>
                <c:pt idx="69">
                  <c:v>1.8199067323269305</c:v>
                </c:pt>
                <c:pt idx="70">
                  <c:v>1.8210826941000762</c:v>
                </c:pt>
                <c:pt idx="71">
                  <c:v>1.8222621668817467</c:v>
                </c:pt>
                <c:pt idx="72">
                  <c:v>1.8234450654759027</c:v>
                </c:pt>
                <c:pt idx="73">
                  <c:v>1.8246313051046263</c:v>
                </c:pt>
                <c:pt idx="74">
                  <c:v>1.8258208011954069</c:v>
                </c:pt>
                <c:pt idx="75">
                  <c:v>1.8270134691687867</c:v>
                </c:pt>
                <c:pt idx="76">
                  <c:v>1.828209224226456</c:v>
                </c:pt>
                <c:pt idx="77">
                  <c:v>1.8294079811402315</c:v>
                </c:pt>
                <c:pt idx="78">
                  <c:v>1.8306096540423693</c:v>
                </c:pt>
                <c:pt idx="79">
                  <c:v>1.8318141562172092</c:v>
                </c:pt>
                <c:pt idx="80">
                  <c:v>1.8330213998947444</c:v>
                </c:pt>
                <c:pt idx="81">
                  <c:v>1.83423129604614</c:v>
                </c:pt>
                <c:pt idx="82">
                  <c:v>1.8354437541814923</c:v>
                </c:pt>
                <c:pt idx="83">
                  <c:v>1.8366586821499955</c:v>
                </c:pt>
                <c:pt idx="84">
                  <c:v>1.8378759859426916</c:v>
                </c:pt>
                <c:pt idx="85">
                  <c:v>1.8390955694978934</c:v>
                </c:pt>
                <c:pt idx="86">
                  <c:v>1.8403173345093868</c:v>
                </c:pt>
                <c:pt idx="87">
                  <c:v>1.8415411802374475</c:v>
                </c:pt>
                <c:pt idx="88">
                  <c:v>1.8427670033226911</c:v>
                </c:pt>
                <c:pt idx="89">
                  <c:v>1.8439946976027652</c:v>
                </c:pt>
                <c:pt idx="90">
                  <c:v>1.8452241539318019</c:v>
                </c:pt>
                <c:pt idx="91">
                  <c:v>1.8464552600024853</c:v>
                </c:pt>
                <c:pt idx="92">
                  <c:v>1.8476879001707618</c:v>
                </c:pt>
                <c:pt idx="93">
                  <c:v>1.848921955282822</c:v>
                </c:pt>
                <c:pt idx="94">
                  <c:v>1.8501573025042455</c:v>
                </c:pt>
                <c:pt idx="95">
                  <c:v>1.8513938151511131</c:v>
                </c:pt>
                <c:pt idx="96">
                  <c:v>1.8526313625226727</c:v>
                </c:pt>
                <c:pt idx="97">
                  <c:v>1.8538698097352706</c:v>
                </c:pt>
                <c:pt idx="98">
                  <c:v>1.8551090175572544</c:v>
                </c:pt>
                <c:pt idx="99">
                  <c:v>1.8563488422442356</c:v>
                </c:pt>
                <c:pt idx="100">
                  <c:v>1.8575891353744951</c:v>
                </c:pt>
                <c:pt idx="101">
                  <c:v>1.8588297436837871</c:v>
                </c:pt>
                <c:pt idx="102">
                  <c:v>1.8600705088991547</c:v>
                </c:pt>
                <c:pt idx="103">
                  <c:v>1.8613112675710222</c:v>
                </c:pt>
                <c:pt idx="104">
                  <c:v>1.8625518509030283</c:v>
                </c:pt>
                <c:pt idx="105">
                  <c:v>1.8637920845787763</c:v>
                </c:pt>
                <c:pt idx="106">
                  <c:v>1.8650317885848284</c:v>
                </c:pt>
                <c:pt idx="107">
                  <c:v>1.8662707770290459</c:v>
                </c:pt>
                <c:pt idx="108">
                  <c:v>1.8675088579534693</c:v>
                </c:pt>
                <c:pt idx="109">
                  <c:v>1.8687458331407194</c:v>
                </c:pt>
                <c:pt idx="110">
                  <c:v>1.8699814979129412</c:v>
                </c:pt>
                <c:pt idx="111">
                  <c:v>1.8712156409222072</c:v>
                </c:pt>
                <c:pt idx="112">
                  <c:v>1.8724480439311837</c:v>
                </c:pt>
                <c:pt idx="113">
                  <c:v>1.8736784815828362</c:v>
                </c:pt>
                <c:pt idx="114">
                  <c:v>1.8749067211578101</c:v>
                </c:pt>
                <c:pt idx="115">
                  <c:v>1.876132522318039</c:v>
                </c:pt>
                <c:pt idx="116">
                  <c:v>1.8773556368350677</c:v>
                </c:pt>
                <c:pt idx="117">
                  <c:v>1.8785758083013335</c:v>
                </c:pt>
                <c:pt idx="118">
                  <c:v>1.8797927718227196</c:v>
                </c:pt>
                <c:pt idx="119">
                  <c:v>1.8810062536903189</c:v>
                </c:pt>
                <c:pt idx="120">
                  <c:v>1.8822159710293607</c:v>
                </c:pt>
                <c:pt idx="121">
                  <c:v>1.8834216314230161</c:v>
                </c:pt>
                <c:pt idx="122">
                  <c:v>1.8846229325085888</c:v>
                </c:pt>
                <c:pt idx="123">
                  <c:v>1.8858195615433877</c:v>
                </c:pt>
                <c:pt idx="124">
                  <c:v>1.8870111949373594</c:v>
                </c:pt>
                <c:pt idx="125">
                  <c:v>1.8881974977492377</c:v>
                </c:pt>
                <c:pt idx="126">
                  <c:v>1.8893781231427353</c:v>
                </c:pt>
                <c:pt idx="127">
                  <c:v>1.8905527117988641</c:v>
                </c:pt>
                <c:pt idx="128">
                  <c:v>1.8917208912801746</c:v>
                </c:pt>
                <c:pt idx="129">
                  <c:v>1.8928822753422154</c:v>
                </c:pt>
                <c:pt idx="130">
                  <c:v>1.8940364631870512</c:v>
                </c:pt>
                <c:pt idx="131">
                  <c:v>1.895183038653101</c:v>
                </c:pt>
                <c:pt idx="132">
                  <c:v>1.896321569334914</c:v>
                </c:pt>
                <c:pt idx="133">
                  <c:v>1.8974516056258681</c:v>
                </c:pt>
                <c:pt idx="134">
                  <c:v>1.8985726796758251</c:v>
                </c:pt>
                <c:pt idx="135">
                  <c:v>1.8996843042549285</c:v>
                </c:pt>
                <c:pt idx="136">
                  <c:v>1.9007859715136741</c:v>
                </c:pt>
                <c:pt idx="137">
                  <c:v>1.9018771516280648</c:v>
                </c:pt>
                <c:pt idx="138">
                  <c:v>1.9029572913173518</c:v>
                </c:pt>
                <c:pt idx="139">
                  <c:v>1.9040258122201241</c:v>
                </c:pt>
                <c:pt idx="140">
                  <c:v>1.9050821091127121</c:v>
                </c:pt>
                <c:pt idx="141">
                  <c:v>1.9061255479516106</c:v>
                </c:pt>
                <c:pt idx="142">
                  <c:v>1.9071554637190777</c:v>
                </c:pt>
                <c:pt idx="143">
                  <c:v>1.9081711580481109</c:v>
                </c:pt>
                <c:pt idx="144">
                  <c:v>1.9091718965994557</c:v>
                </c:pt>
                <c:pt idx="145">
                  <c:v>1.9101569061591845</c:v>
                </c:pt>
                <c:pt idx="146">
                  <c:v>1.9111253714205556</c:v>
                </c:pt>
                <c:pt idx="147">
                  <c:v>1.9120764314080205</c:v>
                </c:pt>
                <c:pt idx="148">
                  <c:v>1.9130091754944221</c:v>
                </c:pt>
                <c:pt idx="149">
                  <c:v>1.913922638954241</c:v>
                </c:pt>
                <c:pt idx="150">
                  <c:v>1.91481579798583</c:v>
                </c:pt>
                <c:pt idx="151">
                  <c:v>1.9156875641236684</c:v>
                </c:pt>
                <c:pt idx="152">
                  <c:v>1.916536777947361</c:v>
                </c:pt>
                <c:pt idx="153">
                  <c:v>1.9173622019763794</c:v>
                </c:pt>
                <c:pt idx="154">
                  <c:v>1.9181625126181685</c:v>
                </c:pt>
                <c:pt idx="155">
                  <c:v>1.9189362910105783</c:v>
                </c:pt>
                <c:pt idx="156">
                  <c:v>1.9196820125667786</c:v>
                </c:pt>
                <c:pt idx="157">
                  <c:v>1.9203980349896765</c:v>
                </c:pt>
                <c:pt idx="158">
                  <c:v>1.9210825844713568</c:v>
                </c:pt>
                <c:pt idx="159">
                  <c:v>1.921733739727747</c:v>
                </c:pt>
                <c:pt idx="160">
                  <c:v>1.9223494134353811</c:v>
                </c:pt>
                <c:pt idx="161">
                  <c:v>1.9229273305302033</c:v>
                </c:pt>
                <c:pt idx="162">
                  <c:v>1.9234650026892821</c:v>
                </c:pt>
                <c:pt idx="163">
                  <c:v>1.9239596981345852</c:v>
                </c:pt>
                <c:pt idx="164">
                  <c:v>1.9244084056572728</c:v>
                </c:pt>
                <c:pt idx="165">
                  <c:v>1.9248077914393096</c:v>
                </c:pt>
                <c:pt idx="166">
                  <c:v>1.9251541468140791</c:v>
                </c:pt>
                <c:pt idx="167">
                  <c:v>1.9254433245112277</c:v>
                </c:pt>
                <c:pt idx="168">
                  <c:v>1.925670660103094</c:v>
                </c:pt>
                <c:pt idx="169">
                  <c:v>1.9258308742017523</c:v>
                </c:pt>
                <c:pt idx="170">
                  <c:v>1.9259179492819125</c:v>
                </c:pt>
                <c:pt idx="171">
                  <c:v>1.925924972560723</c:v>
                </c:pt>
                <c:pt idx="172">
                  <c:v>1.9258439327259547</c:v>
                </c:pt>
                <c:pt idx="173">
                  <c:v>1.9256654527602224</c:v>
                </c:pt>
                <c:pt idx="174">
                  <c:v>1.9253784324516126</c:v>
                </c:pt>
                <c:pt idx="175">
                  <c:v>1.9249695602716845</c:v>
                </c:pt>
                <c:pt idx="176">
                  <c:v>1.9244226312240638</c:v>
                </c:pt>
                <c:pt idx="177">
                  <c:v>1.9237175675262659</c:v>
                </c:pt>
                <c:pt idx="178">
                  <c:v>1.9228289675391594</c:v>
                </c:pt>
                <c:pt idx="179">
                  <c:v>1.9217238731915869</c:v>
                </c:pt>
                <c:pt idx="180">
                  <c:v>1.920358174346366</c:v>
                </c:pt>
                <c:pt idx="181">
                  <c:v>1.9186704795969356</c:v>
                </c:pt>
                <c:pt idx="182">
                  <c:v>1.9165708810984083</c:v>
                </c:pt>
                <c:pt idx="183">
                  <c:v>1.9139182694506343</c:v>
                </c:pt>
                <c:pt idx="184">
                  <c:v>1.9104678488206459</c:v>
                </c:pt>
                <c:pt idx="185">
                  <c:v>1.9057213573991385</c:v>
                </c:pt>
                <c:pt idx="186">
                  <c:v>1.8982984932301501</c:v>
                </c:pt>
                <c:pt idx="187">
                  <c:v>1.8618234308231401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IHX!$AB$3:$AB$230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DC5-4C0D-8275-998BAC8F6345}"/>
            </c:ext>
          </c:extLst>
        </c:ser>
        <c:ser>
          <c:idx val="1"/>
          <c:order val="7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IHX!$Z$3:$Z$230</c:f>
              <c:numCache>
                <c:formatCode>General</c:formatCode>
                <c:ptCount val="228"/>
                <c:pt idx="0">
                  <c:v>0.99926926582767361</c:v>
                </c:pt>
                <c:pt idx="1">
                  <c:v>1.0041359172048705</c:v>
                </c:pt>
                <c:pt idx="2">
                  <c:v>1.0089910884181452</c:v>
                </c:pt>
                <c:pt idx="3">
                  <c:v>1.0138348955909882</c:v>
                </c:pt>
                <c:pt idx="4">
                  <c:v>1.0186674534350868</c:v>
                </c:pt>
                <c:pt idx="5">
                  <c:v>1.0234888752800013</c:v>
                </c:pt>
                <c:pt idx="6">
                  <c:v>1.0282992731025271</c:v>
                </c:pt>
                <c:pt idx="7">
                  <c:v>1.0330987575557922</c:v>
                </c:pt>
                <c:pt idx="8">
                  <c:v>1.0378874379980414</c:v>
                </c:pt>
                <c:pt idx="9">
                  <c:v>1.04266542252114</c:v>
                </c:pt>
                <c:pt idx="10">
                  <c:v>1.0474328179788364</c:v>
                </c:pt>
                <c:pt idx="11">
                  <c:v>1.0521897300147507</c:v>
                </c:pt>
                <c:pt idx="12">
                  <c:v>1.0569362630901293</c:v>
                </c:pt>
                <c:pt idx="13">
                  <c:v>1.0616725205113571</c:v>
                </c:pt>
                <c:pt idx="14">
                  <c:v>1.0663986044572629</c:v>
                </c:pt>
                <c:pt idx="15">
                  <c:v>1.0711146160061888</c:v>
                </c:pt>
                <c:pt idx="16">
                  <c:v>1.0758206551628535</c:v>
                </c:pt>
                <c:pt idx="17">
                  <c:v>1.0805168208850455</c:v>
                </c:pt>
                <c:pt idx="18">
                  <c:v>1.0852032111101022</c:v>
                </c:pt>
                <c:pt idx="19">
                  <c:v>1.0898799227812073</c:v>
                </c:pt>
                <c:pt idx="20">
                  <c:v>1.0945470518735179</c:v>
                </c:pt>
                <c:pt idx="21">
                  <c:v>1.0992046934201196</c:v>
                </c:pt>
                <c:pt idx="22">
                  <c:v>1.1038529415378417</c:v>
                </c:pt>
                <c:pt idx="23">
                  <c:v>1.1084918894528615</c:v>
                </c:pt>
                <c:pt idx="24">
                  <c:v>1.1131216295262183</c:v>
                </c:pt>
                <c:pt idx="25">
                  <c:v>1.1177422532791195</c:v>
                </c:pt>
                <c:pt idx="26">
                  <c:v>1.1223538514181619</c:v>
                </c:pt>
                <c:pt idx="27">
                  <c:v>1.1269565138603637</c:v>
                </c:pt>
                <c:pt idx="28">
                  <c:v>1.1315503297580725</c:v>
                </c:pt>
                <c:pt idx="29">
                  <c:v>1.1361353875237687</c:v>
                </c:pt>
                <c:pt idx="30">
                  <c:v>1.1407117748546867</c:v>
                </c:pt>
                <c:pt idx="31">
                  <c:v>1.1452795787573478</c:v>
                </c:pt>
                <c:pt idx="32">
                  <c:v>1.1498388855719417</c:v>
                </c:pt>
                <c:pt idx="33">
                  <c:v>1.1543897809966124</c:v>
                </c:pt>
                <c:pt idx="34">
                  <c:v>1.1589323501115749</c:v>
                </c:pt>
                <c:pt idx="35">
                  <c:v>1.1634666774031601</c:v>
                </c:pt>
                <c:pt idx="36">
                  <c:v>1.1679928467877141</c:v>
                </c:pt>
                <c:pt idx="37">
                  <c:v>1.1725109416353905</c:v>
                </c:pt>
                <c:pt idx="38">
                  <c:v>1.1770210447938325</c:v>
                </c:pt>
                <c:pt idx="39">
                  <c:v>1.1815232386117198</c:v>
                </c:pt>
                <c:pt idx="40">
                  <c:v>1.1860176049622539</c:v>
                </c:pt>
                <c:pt idx="41">
                  <c:v>1.1905042252665108</c:v>
                </c:pt>
                <c:pt idx="42">
                  <c:v>1.1949831805166804</c:v>
                </c:pt>
                <c:pt idx="43">
                  <c:v>1.1994545512992503</c:v>
                </c:pt>
                <c:pt idx="44">
                  <c:v>1.2039184178180606</c:v>
                </c:pt>
                <c:pt idx="45">
                  <c:v>1.2083748599173161</c:v>
                </c:pt>
                <c:pt idx="46">
                  <c:v>1.2128239571044637</c:v>
                </c:pt>
                <c:pt idx="47">
                  <c:v>1.2172657885730682</c:v>
                </c:pt>
                <c:pt idx="48">
                  <c:v>1.2217004332255654</c:v>
                </c:pt>
                <c:pt idx="49">
                  <c:v>1.2261279696960081</c:v>
                </c:pt>
                <c:pt idx="50">
                  <c:v>1.2305484763727317</c:v>
                </c:pt>
                <c:pt idx="51">
                  <c:v>1.2349620314210044</c:v>
                </c:pt>
                <c:pt idx="52">
                  <c:v>1.2393687128056783</c:v>
                </c:pt>
                <c:pt idx="53">
                  <c:v>1.2437685983137827</c:v>
                </c:pt>
                <c:pt idx="54">
                  <c:v>1.2481617655771764</c:v>
                </c:pt>
                <c:pt idx="55">
                  <c:v>1.2525482920951849</c:v>
                </c:pt>
                <c:pt idx="56">
                  <c:v>1.2569282552572929</c:v>
                </c:pt>
                <c:pt idx="57">
                  <c:v>1.2613017323659015</c:v>
                </c:pt>
                <c:pt idx="58">
                  <c:v>1.2656688006591361</c:v>
                </c:pt>
                <c:pt idx="59">
                  <c:v>1.2700295373337709</c:v>
                </c:pt>
                <c:pt idx="60">
                  <c:v>1.2743840195682636</c:v>
                </c:pt>
                <c:pt idx="61">
                  <c:v>1.2787323245459428</c:v>
                </c:pt>
                <c:pt idx="62">
                  <c:v>1.2830745294783448</c:v>
                </c:pt>
                <c:pt idx="63">
                  <c:v>1.287410711628737</c:v>
                </c:pt>
                <c:pt idx="64">
                  <c:v>1.2917409483359055</c:v>
                </c:pt>
                <c:pt idx="65">
                  <c:v>1.2960653170381302</c:v>
                </c:pt>
                <c:pt idx="66">
                  <c:v>1.3003838952975042</c:v>
                </c:pt>
                <c:pt idx="67">
                  <c:v>1.3046967608245132</c:v>
                </c:pt>
                <c:pt idx="68">
                  <c:v>1.3090039915029932</c:v>
                </c:pt>
                <c:pt idx="69">
                  <c:v>1.3133056654154707</c:v>
                </c:pt>
                <c:pt idx="70">
                  <c:v>1.317601860868918</c:v>
                </c:pt>
                <c:pt idx="71">
                  <c:v>1.3218926564209863</c:v>
                </c:pt>
                <c:pt idx="72">
                  <c:v>1.3261781309067229</c:v>
                </c:pt>
                <c:pt idx="73">
                  <c:v>1.3304583634658542</c:v>
                </c:pt>
                <c:pt idx="74">
                  <c:v>1.334733433570684</c:v>
                </c:pt>
                <c:pt idx="75">
                  <c:v>1.3390034210546007</c:v>
                </c:pt>
                <c:pt idx="76">
                  <c:v>1.3432684061413045</c:v>
                </c:pt>
                <c:pt idx="77">
                  <c:v>1.3475284694747927</c:v>
                </c:pt>
                <c:pt idx="78">
                  <c:v>1.3517836921501578</c:v>
                </c:pt>
                <c:pt idx="79">
                  <c:v>1.3560341557452185</c:v>
                </c:pt>
                <c:pt idx="80">
                  <c:v>1.360279942353138</c:v>
                </c:pt>
                <c:pt idx="81">
                  <c:v>1.364521134616002</c:v>
                </c:pt>
                <c:pt idx="82">
                  <c:v>1.3687578157594846</c:v>
                </c:pt>
                <c:pt idx="83">
                  <c:v>1.3729900696286439</c:v>
                </c:pt>
                <c:pt idx="84">
                  <c:v>1.3772179807249574</c:v>
                </c:pt>
                <c:pt idx="85">
                  <c:v>1.3814416342446256</c:v>
                </c:pt>
                <c:pt idx="86">
                  <c:v>1.3856611161182995</c:v>
                </c:pt>
                <c:pt idx="87">
                  <c:v>1.3898765130522626</c:v>
                </c:pt>
                <c:pt idx="88">
                  <c:v>1.3940879125711925</c:v>
                </c:pt>
                <c:pt idx="89">
                  <c:v>1.3982954030625965</c:v>
                </c:pt>
                <c:pt idx="90">
                  <c:v>1.402499073823037</c:v>
                </c:pt>
                <c:pt idx="91">
                  <c:v>1.4066990151062488</c:v>
                </c:pt>
                <c:pt idx="92">
                  <c:v>1.4108953181732704</c:v>
                </c:pt>
                <c:pt idx="93">
                  <c:v>1.4150880753447392</c:v>
                </c:pt>
                <c:pt idx="94">
                  <c:v>1.4192773800554368</c:v>
                </c:pt>
                <c:pt idx="95">
                  <c:v>1.4234633269113026</c:v>
                </c:pt>
                <c:pt idx="96">
                  <c:v>1.4276460117490095</c:v>
                </c:pt>
                <c:pt idx="97">
                  <c:v>1.4318255316982806</c:v>
                </c:pt>
                <c:pt idx="98">
                  <c:v>1.4360019852471659</c:v>
                </c:pt>
                <c:pt idx="99">
                  <c:v>1.4401754723103841</c:v>
                </c:pt>
                <c:pt idx="100">
                  <c:v>1.4443460943010364</c:v>
                </c:pt>
                <c:pt idx="101">
                  <c:v>1.4485139542058032</c:v>
                </c:pt>
                <c:pt idx="102">
                  <c:v>1.4526791566639645</c:v>
                </c:pt>
                <c:pt idx="103">
                  <c:v>1.4568418080503645</c:v>
                </c:pt>
                <c:pt idx="104">
                  <c:v>1.4610020165627433</c:v>
                </c:pt>
                <c:pt idx="105">
                  <c:v>1.4651598923135647</c:v>
                </c:pt>
                <c:pt idx="106">
                  <c:v>1.4693155474268011</c:v>
                </c:pt>
                <c:pt idx="107">
                  <c:v>1.4734690961398804</c:v>
                </c:pt>
                <c:pt idx="108">
                  <c:v>1.4776206549112711</c:v>
                </c:pt>
                <c:pt idx="109">
                  <c:v>1.4817703425340067</c:v>
                </c:pt>
                <c:pt idx="110">
                  <c:v>1.485918280255641</c:v>
                </c:pt>
                <c:pt idx="111">
                  <c:v>1.4900645919050599</c:v>
                </c:pt>
                <c:pt idx="112">
                  <c:v>1.4942094040266687</c:v>
                </c:pt>
                <c:pt idx="113">
                  <c:v>1.4983528460224789</c:v>
                </c:pt>
                <c:pt idx="114">
                  <c:v>1.5024950503027241</c:v>
                </c:pt>
                <c:pt idx="115">
                  <c:v>1.5066361524456064</c:v>
                </c:pt>
                <c:pt idx="116">
                  <c:v>1.5107762913669194</c:v>
                </c:pt>
                <c:pt idx="117">
                  <c:v>1.5149156095002647</c:v>
                </c:pt>
                <c:pt idx="118">
                  <c:v>1.5190542529888025</c:v>
                </c:pt>
                <c:pt idx="119">
                  <c:v>1.5231923718893097</c:v>
                </c:pt>
                <c:pt idx="120">
                  <c:v>1.5273301203897223</c:v>
                </c:pt>
                <c:pt idx="121">
                  <c:v>1.5314676570411432</c:v>
                </c:pt>
                <c:pt idx="122">
                  <c:v>1.5356051450056101</c:v>
                </c:pt>
                <c:pt idx="123">
                  <c:v>1.5397427523209541</c:v>
                </c:pt>
                <c:pt idx="124">
                  <c:v>1.5438806521842183</c:v>
                </c:pt>
                <c:pt idx="125">
                  <c:v>1.5480190232553297</c:v>
                </c:pt>
                <c:pt idx="126">
                  <c:v>1.5521580499827643</c:v>
                </c:pt>
                <c:pt idx="127">
                  <c:v>1.5562979229533069</c:v>
                </c:pt>
                <c:pt idx="128">
                  <c:v>1.5604388392681021</c:v>
                </c:pt>
                <c:pt idx="129">
                  <c:v>1.5645810029474849</c:v>
                </c:pt>
                <c:pt idx="130">
                  <c:v>1.5687246253674048</c:v>
                </c:pt>
                <c:pt idx="131">
                  <c:v>1.5728699257305281</c:v>
                </c:pt>
                <c:pt idx="132">
                  <c:v>1.5770171315754788</c:v>
                </c:pt>
                <c:pt idx="133">
                  <c:v>1.5811664793281552</c:v>
                </c:pt>
                <c:pt idx="134">
                  <c:v>1.5853182148994596</c:v>
                </c:pt>
                <c:pt idx="135">
                  <c:v>1.5894725943344181</c:v>
                </c:pt>
                <c:pt idx="136">
                  <c:v>1.5936298845181895</c:v>
                </c:pt>
                <c:pt idx="137">
                  <c:v>1.5977903639453366</c:v>
                </c:pt>
                <c:pt idx="138">
                  <c:v>1.6019543235594369</c:v>
                </c:pt>
                <c:pt idx="139">
                  <c:v>1.6061220676711774</c:v>
                </c:pt>
                <c:pt idx="140">
                  <c:v>1.6102939149641531</c:v>
                </c:pt>
                <c:pt idx="141">
                  <c:v>1.6144701995989879</c:v>
                </c:pt>
                <c:pt idx="142">
                  <c:v>1.6186512724278233</c:v>
                </c:pt>
                <c:pt idx="143">
                  <c:v>1.6228375023331132</c:v>
                </c:pt>
                <c:pt idx="144">
                  <c:v>1.6270292777068047</c:v>
                </c:pt>
                <c:pt idx="145">
                  <c:v>1.6312270080883653</c:v>
                </c:pt>
                <c:pt idx="146">
                  <c:v>1.6354311259832701</c:v>
                </c:pt>
                <c:pt idx="147">
                  <c:v>1.6396420888869216</c:v>
                </c:pt>
                <c:pt idx="148">
                  <c:v>1.6438603815433095</c:v>
                </c:pt>
                <c:pt idx="149">
                  <c:v>1.6480865184727305</c:v>
                </c:pt>
                <c:pt idx="150">
                  <c:v>1.6523210468089722</c:v>
                </c:pt>
                <c:pt idx="151">
                  <c:v>1.6565645494937329</c:v>
                </c:pt>
                <c:pt idx="152">
                  <c:v>1.6608176488850588</c:v>
                </c:pt>
                <c:pt idx="153">
                  <c:v>1.6650810108474141</c:v>
                </c:pt>
                <c:pt idx="154">
                  <c:v>1.6693553494046007</c:v>
                </c:pt>
                <c:pt idx="155">
                  <c:v>1.6736414320532316</c:v>
                </c:pt>
                <c:pt idx="156">
                  <c:v>1.6779400858552109</c:v>
                </c:pt>
                <c:pt idx="157">
                  <c:v>1.6822522044535253</c:v>
                </c:pt>
                <c:pt idx="158">
                  <c:v>1.686578756188146</c:v>
                </c:pt>
                <c:pt idx="159">
                  <c:v>1.6909207935303632</c:v>
                </c:pt>
                <c:pt idx="160">
                  <c:v>1.6952794641064792</c:v>
                </c:pt>
                <c:pt idx="161">
                  <c:v>1.6996560236501452</c:v>
                </c:pt>
                <c:pt idx="162">
                  <c:v>1.7040518513111436</c:v>
                </c:pt>
                <c:pt idx="163">
                  <c:v>1.7084684678647315</c:v>
                </c:pt>
                <c:pt idx="164">
                  <c:v>1.7129075575199837</c:v>
                </c:pt>
                <c:pt idx="165">
                  <c:v>1.71737099423242</c:v>
                </c:pt>
                <c:pt idx="166">
                  <c:v>1.7218608737065795</c:v>
                </c:pt>
                <c:pt idx="167">
                  <c:v>1.7263795526598158</c:v>
                </c:pt>
                <c:pt idx="168">
                  <c:v>1.730929697455297</c:v>
                </c:pt>
                <c:pt idx="169">
                  <c:v>1.7355143449715598</c:v>
                </c:pt>
                <c:pt idx="170">
                  <c:v>1.7401369796677459</c:v>
                </c:pt>
                <c:pt idx="171">
                  <c:v>1.7448016324026718</c:v>
                </c:pt>
                <c:pt idx="172">
                  <c:v>1.7495130089554747</c:v>
                </c:pt>
                <c:pt idx="173">
                  <c:v>1.7542766598487338</c:v>
                </c:pt>
                <c:pt idx="174">
                  <c:v>1.7590992088020441</c:v>
                </c:pt>
                <c:pt idx="175">
                  <c:v>1.7639886663841535</c:v>
                </c:pt>
                <c:pt idx="176">
                  <c:v>1.7689548708322569</c:v>
                </c:pt>
                <c:pt idx="177">
                  <c:v>1.7740101246552462</c:v>
                </c:pt>
                <c:pt idx="178">
                  <c:v>1.7791701438017755</c:v>
                </c:pt>
                <c:pt idx="179">
                  <c:v>1.784455527815245</c:v>
                </c:pt>
                <c:pt idx="180">
                  <c:v>1.7898941448404049</c:v>
                </c:pt>
                <c:pt idx="181">
                  <c:v>1.7955252299900819</c:v>
                </c:pt>
                <c:pt idx="182">
                  <c:v>1.8014069663173107</c:v>
                </c:pt>
                <c:pt idx="183">
                  <c:v>1.807631952725014</c:v>
                </c:pt>
                <c:pt idx="184">
                  <c:v>1.8143634396472177</c:v>
                </c:pt>
                <c:pt idx="185">
                  <c:v>1.8219403617818561</c:v>
                </c:pt>
                <c:pt idx="186">
                  <c:v>1.831327767993761</c:v>
                </c:pt>
                <c:pt idx="187">
                  <c:v>1.8618234308231401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</c:numCache>
            </c:numRef>
          </c:xVal>
          <c:yVal>
            <c:numRef>
              <c:f>IHX!$AB$3:$AB$230</c:f>
              <c:numCache>
                <c:formatCode>General</c:formatCode>
                <c:ptCount val="228"/>
                <c:pt idx="0">
                  <c:v>273</c:v>
                </c:pt>
                <c:pt idx="1">
                  <c:v>274</c:v>
                </c:pt>
                <c:pt idx="2">
                  <c:v>275</c:v>
                </c:pt>
                <c:pt idx="3">
                  <c:v>276</c:v>
                </c:pt>
                <c:pt idx="4">
                  <c:v>277</c:v>
                </c:pt>
                <c:pt idx="5">
                  <c:v>278</c:v>
                </c:pt>
                <c:pt idx="6">
                  <c:v>279</c:v>
                </c:pt>
                <c:pt idx="7">
                  <c:v>280</c:v>
                </c:pt>
                <c:pt idx="8">
                  <c:v>281</c:v>
                </c:pt>
                <c:pt idx="9">
                  <c:v>282</c:v>
                </c:pt>
                <c:pt idx="10">
                  <c:v>283</c:v>
                </c:pt>
                <c:pt idx="11">
                  <c:v>284</c:v>
                </c:pt>
                <c:pt idx="12">
                  <c:v>285</c:v>
                </c:pt>
                <c:pt idx="13">
                  <c:v>286</c:v>
                </c:pt>
                <c:pt idx="14">
                  <c:v>287</c:v>
                </c:pt>
                <c:pt idx="15">
                  <c:v>288</c:v>
                </c:pt>
                <c:pt idx="16">
                  <c:v>289</c:v>
                </c:pt>
                <c:pt idx="17">
                  <c:v>290</c:v>
                </c:pt>
                <c:pt idx="18">
                  <c:v>291</c:v>
                </c:pt>
                <c:pt idx="19">
                  <c:v>292</c:v>
                </c:pt>
                <c:pt idx="20">
                  <c:v>293</c:v>
                </c:pt>
                <c:pt idx="21">
                  <c:v>294</c:v>
                </c:pt>
                <c:pt idx="22">
                  <c:v>295</c:v>
                </c:pt>
                <c:pt idx="23">
                  <c:v>296</c:v>
                </c:pt>
                <c:pt idx="24">
                  <c:v>297</c:v>
                </c:pt>
                <c:pt idx="25">
                  <c:v>298</c:v>
                </c:pt>
                <c:pt idx="26">
                  <c:v>299</c:v>
                </c:pt>
                <c:pt idx="27">
                  <c:v>300</c:v>
                </c:pt>
                <c:pt idx="28">
                  <c:v>301</c:v>
                </c:pt>
                <c:pt idx="29">
                  <c:v>302</c:v>
                </c:pt>
                <c:pt idx="30">
                  <c:v>303</c:v>
                </c:pt>
                <c:pt idx="31">
                  <c:v>304</c:v>
                </c:pt>
                <c:pt idx="32">
                  <c:v>305</c:v>
                </c:pt>
                <c:pt idx="33">
                  <c:v>306</c:v>
                </c:pt>
                <c:pt idx="34">
                  <c:v>307</c:v>
                </c:pt>
                <c:pt idx="35">
                  <c:v>308</c:v>
                </c:pt>
                <c:pt idx="36">
                  <c:v>309</c:v>
                </c:pt>
                <c:pt idx="37">
                  <c:v>310</c:v>
                </c:pt>
                <c:pt idx="38">
                  <c:v>311</c:v>
                </c:pt>
                <c:pt idx="39">
                  <c:v>312</c:v>
                </c:pt>
                <c:pt idx="40">
                  <c:v>313</c:v>
                </c:pt>
                <c:pt idx="41">
                  <c:v>314</c:v>
                </c:pt>
                <c:pt idx="42">
                  <c:v>315</c:v>
                </c:pt>
                <c:pt idx="43">
                  <c:v>316</c:v>
                </c:pt>
                <c:pt idx="44">
                  <c:v>317</c:v>
                </c:pt>
                <c:pt idx="45">
                  <c:v>318</c:v>
                </c:pt>
                <c:pt idx="46">
                  <c:v>319</c:v>
                </c:pt>
                <c:pt idx="47">
                  <c:v>320</c:v>
                </c:pt>
                <c:pt idx="48">
                  <c:v>321</c:v>
                </c:pt>
                <c:pt idx="49">
                  <c:v>322</c:v>
                </c:pt>
                <c:pt idx="50">
                  <c:v>323</c:v>
                </c:pt>
                <c:pt idx="51">
                  <c:v>324</c:v>
                </c:pt>
                <c:pt idx="52">
                  <c:v>325</c:v>
                </c:pt>
                <c:pt idx="53">
                  <c:v>326</c:v>
                </c:pt>
                <c:pt idx="54">
                  <c:v>327</c:v>
                </c:pt>
                <c:pt idx="55">
                  <c:v>328</c:v>
                </c:pt>
                <c:pt idx="56">
                  <c:v>329</c:v>
                </c:pt>
                <c:pt idx="57">
                  <c:v>330</c:v>
                </c:pt>
                <c:pt idx="58">
                  <c:v>331</c:v>
                </c:pt>
                <c:pt idx="59">
                  <c:v>332</c:v>
                </c:pt>
                <c:pt idx="60">
                  <c:v>333</c:v>
                </c:pt>
                <c:pt idx="61">
                  <c:v>334</c:v>
                </c:pt>
                <c:pt idx="62">
                  <c:v>335</c:v>
                </c:pt>
                <c:pt idx="63">
                  <c:v>336</c:v>
                </c:pt>
                <c:pt idx="64">
                  <c:v>337</c:v>
                </c:pt>
                <c:pt idx="65">
                  <c:v>338</c:v>
                </c:pt>
                <c:pt idx="66">
                  <c:v>339</c:v>
                </c:pt>
                <c:pt idx="67">
                  <c:v>340</c:v>
                </c:pt>
                <c:pt idx="68">
                  <c:v>341</c:v>
                </c:pt>
                <c:pt idx="69">
                  <c:v>342</c:v>
                </c:pt>
                <c:pt idx="70">
                  <c:v>343</c:v>
                </c:pt>
                <c:pt idx="71">
                  <c:v>344</c:v>
                </c:pt>
                <c:pt idx="72">
                  <c:v>345</c:v>
                </c:pt>
                <c:pt idx="73">
                  <c:v>346</c:v>
                </c:pt>
                <c:pt idx="74">
                  <c:v>347</c:v>
                </c:pt>
                <c:pt idx="75">
                  <c:v>348</c:v>
                </c:pt>
                <c:pt idx="76">
                  <c:v>349</c:v>
                </c:pt>
                <c:pt idx="77">
                  <c:v>350</c:v>
                </c:pt>
                <c:pt idx="78">
                  <c:v>351</c:v>
                </c:pt>
                <c:pt idx="79">
                  <c:v>352</c:v>
                </c:pt>
                <c:pt idx="80">
                  <c:v>353</c:v>
                </c:pt>
                <c:pt idx="81">
                  <c:v>354</c:v>
                </c:pt>
                <c:pt idx="82">
                  <c:v>355</c:v>
                </c:pt>
                <c:pt idx="83">
                  <c:v>356</c:v>
                </c:pt>
                <c:pt idx="84">
                  <c:v>357</c:v>
                </c:pt>
                <c:pt idx="85">
                  <c:v>358</c:v>
                </c:pt>
                <c:pt idx="86">
                  <c:v>359</c:v>
                </c:pt>
                <c:pt idx="87">
                  <c:v>360</c:v>
                </c:pt>
                <c:pt idx="88">
                  <c:v>361</c:v>
                </c:pt>
                <c:pt idx="89">
                  <c:v>362</c:v>
                </c:pt>
                <c:pt idx="90">
                  <c:v>363</c:v>
                </c:pt>
                <c:pt idx="91">
                  <c:v>364</c:v>
                </c:pt>
                <c:pt idx="92">
                  <c:v>365</c:v>
                </c:pt>
                <c:pt idx="93">
                  <c:v>366</c:v>
                </c:pt>
                <c:pt idx="94">
                  <c:v>367</c:v>
                </c:pt>
                <c:pt idx="95">
                  <c:v>368</c:v>
                </c:pt>
                <c:pt idx="96">
                  <c:v>369</c:v>
                </c:pt>
                <c:pt idx="97">
                  <c:v>370</c:v>
                </c:pt>
                <c:pt idx="98">
                  <c:v>371</c:v>
                </c:pt>
                <c:pt idx="99">
                  <c:v>372</c:v>
                </c:pt>
                <c:pt idx="100">
                  <c:v>373</c:v>
                </c:pt>
                <c:pt idx="101">
                  <c:v>374</c:v>
                </c:pt>
                <c:pt idx="102">
                  <c:v>375</c:v>
                </c:pt>
                <c:pt idx="103">
                  <c:v>376</c:v>
                </c:pt>
                <c:pt idx="104">
                  <c:v>377</c:v>
                </c:pt>
                <c:pt idx="105">
                  <c:v>378</c:v>
                </c:pt>
                <c:pt idx="106">
                  <c:v>379</c:v>
                </c:pt>
                <c:pt idx="107">
                  <c:v>380</c:v>
                </c:pt>
                <c:pt idx="108">
                  <c:v>381</c:v>
                </c:pt>
                <c:pt idx="109">
                  <c:v>382</c:v>
                </c:pt>
                <c:pt idx="110">
                  <c:v>383</c:v>
                </c:pt>
                <c:pt idx="111">
                  <c:v>384</c:v>
                </c:pt>
                <c:pt idx="112">
                  <c:v>385</c:v>
                </c:pt>
                <c:pt idx="113">
                  <c:v>386</c:v>
                </c:pt>
                <c:pt idx="114">
                  <c:v>387</c:v>
                </c:pt>
                <c:pt idx="115">
                  <c:v>388</c:v>
                </c:pt>
                <c:pt idx="116">
                  <c:v>389</c:v>
                </c:pt>
                <c:pt idx="117">
                  <c:v>390</c:v>
                </c:pt>
                <c:pt idx="118">
                  <c:v>391</c:v>
                </c:pt>
                <c:pt idx="119">
                  <c:v>392</c:v>
                </c:pt>
                <c:pt idx="120">
                  <c:v>393</c:v>
                </c:pt>
                <c:pt idx="121">
                  <c:v>394</c:v>
                </c:pt>
                <c:pt idx="122">
                  <c:v>395</c:v>
                </c:pt>
                <c:pt idx="123">
                  <c:v>396</c:v>
                </c:pt>
                <c:pt idx="124">
                  <c:v>397</c:v>
                </c:pt>
                <c:pt idx="125">
                  <c:v>398</c:v>
                </c:pt>
                <c:pt idx="126">
                  <c:v>399</c:v>
                </c:pt>
                <c:pt idx="127">
                  <c:v>400</c:v>
                </c:pt>
                <c:pt idx="128">
                  <c:v>401</c:v>
                </c:pt>
                <c:pt idx="129">
                  <c:v>402</c:v>
                </c:pt>
                <c:pt idx="130">
                  <c:v>403</c:v>
                </c:pt>
                <c:pt idx="131">
                  <c:v>404</c:v>
                </c:pt>
                <c:pt idx="132">
                  <c:v>405</c:v>
                </c:pt>
                <c:pt idx="133">
                  <c:v>406</c:v>
                </c:pt>
                <c:pt idx="134">
                  <c:v>407</c:v>
                </c:pt>
                <c:pt idx="135">
                  <c:v>408</c:v>
                </c:pt>
                <c:pt idx="136">
                  <c:v>409</c:v>
                </c:pt>
                <c:pt idx="137">
                  <c:v>410</c:v>
                </c:pt>
                <c:pt idx="138">
                  <c:v>411</c:v>
                </c:pt>
                <c:pt idx="139">
                  <c:v>412</c:v>
                </c:pt>
                <c:pt idx="140">
                  <c:v>413</c:v>
                </c:pt>
                <c:pt idx="141">
                  <c:v>414</c:v>
                </c:pt>
                <c:pt idx="142">
                  <c:v>415</c:v>
                </c:pt>
                <c:pt idx="143">
                  <c:v>416</c:v>
                </c:pt>
                <c:pt idx="144">
                  <c:v>417</c:v>
                </c:pt>
                <c:pt idx="145">
                  <c:v>418</c:v>
                </c:pt>
                <c:pt idx="146">
                  <c:v>419</c:v>
                </c:pt>
                <c:pt idx="147">
                  <c:v>420</c:v>
                </c:pt>
                <c:pt idx="148">
                  <c:v>421</c:v>
                </c:pt>
                <c:pt idx="149">
                  <c:v>422</c:v>
                </c:pt>
                <c:pt idx="150">
                  <c:v>423</c:v>
                </c:pt>
                <c:pt idx="151">
                  <c:v>424</c:v>
                </c:pt>
                <c:pt idx="152">
                  <c:v>425</c:v>
                </c:pt>
                <c:pt idx="153">
                  <c:v>426</c:v>
                </c:pt>
                <c:pt idx="154">
                  <c:v>427</c:v>
                </c:pt>
                <c:pt idx="155">
                  <c:v>428</c:v>
                </c:pt>
                <c:pt idx="156">
                  <c:v>429</c:v>
                </c:pt>
                <c:pt idx="157">
                  <c:v>430</c:v>
                </c:pt>
                <c:pt idx="158">
                  <c:v>431</c:v>
                </c:pt>
                <c:pt idx="159">
                  <c:v>432</c:v>
                </c:pt>
                <c:pt idx="160">
                  <c:v>433</c:v>
                </c:pt>
                <c:pt idx="161">
                  <c:v>434</c:v>
                </c:pt>
                <c:pt idx="162">
                  <c:v>435</c:v>
                </c:pt>
                <c:pt idx="163">
                  <c:v>436</c:v>
                </c:pt>
                <c:pt idx="164">
                  <c:v>437</c:v>
                </c:pt>
                <c:pt idx="165">
                  <c:v>438</c:v>
                </c:pt>
                <c:pt idx="166">
                  <c:v>439</c:v>
                </c:pt>
                <c:pt idx="167">
                  <c:v>440</c:v>
                </c:pt>
                <c:pt idx="168">
                  <c:v>441</c:v>
                </c:pt>
                <c:pt idx="169">
                  <c:v>442</c:v>
                </c:pt>
                <c:pt idx="170">
                  <c:v>443</c:v>
                </c:pt>
                <c:pt idx="171">
                  <c:v>444</c:v>
                </c:pt>
                <c:pt idx="172">
                  <c:v>445</c:v>
                </c:pt>
                <c:pt idx="173">
                  <c:v>446</c:v>
                </c:pt>
                <c:pt idx="174">
                  <c:v>447</c:v>
                </c:pt>
                <c:pt idx="175">
                  <c:v>448</c:v>
                </c:pt>
                <c:pt idx="176">
                  <c:v>449</c:v>
                </c:pt>
                <c:pt idx="177">
                  <c:v>450</c:v>
                </c:pt>
                <c:pt idx="178">
                  <c:v>451</c:v>
                </c:pt>
                <c:pt idx="179">
                  <c:v>452</c:v>
                </c:pt>
                <c:pt idx="180">
                  <c:v>453</c:v>
                </c:pt>
                <c:pt idx="181">
                  <c:v>454</c:v>
                </c:pt>
                <c:pt idx="182">
                  <c:v>455</c:v>
                </c:pt>
                <c:pt idx="183">
                  <c:v>456</c:v>
                </c:pt>
                <c:pt idx="184">
                  <c:v>457</c:v>
                </c:pt>
                <c:pt idx="185">
                  <c:v>458</c:v>
                </c:pt>
                <c:pt idx="186">
                  <c:v>459</c:v>
                </c:pt>
                <c:pt idx="187">
                  <c:v>460</c:v>
                </c:pt>
                <c:pt idx="188">
                  <c:v>461</c:v>
                </c:pt>
                <c:pt idx="189">
                  <c:v>462</c:v>
                </c:pt>
                <c:pt idx="190">
                  <c:v>463</c:v>
                </c:pt>
                <c:pt idx="191">
                  <c:v>464</c:v>
                </c:pt>
                <c:pt idx="192">
                  <c:v>465</c:v>
                </c:pt>
                <c:pt idx="193">
                  <c:v>466</c:v>
                </c:pt>
                <c:pt idx="194">
                  <c:v>467</c:v>
                </c:pt>
                <c:pt idx="195">
                  <c:v>468</c:v>
                </c:pt>
                <c:pt idx="196">
                  <c:v>469</c:v>
                </c:pt>
                <c:pt idx="197">
                  <c:v>470</c:v>
                </c:pt>
                <c:pt idx="198">
                  <c:v>471</c:v>
                </c:pt>
                <c:pt idx="199">
                  <c:v>472</c:v>
                </c:pt>
                <c:pt idx="200">
                  <c:v>473</c:v>
                </c:pt>
                <c:pt idx="201">
                  <c:v>474</c:v>
                </c:pt>
                <c:pt idx="202">
                  <c:v>475</c:v>
                </c:pt>
                <c:pt idx="203">
                  <c:v>476</c:v>
                </c:pt>
                <c:pt idx="204">
                  <c:v>477</c:v>
                </c:pt>
                <c:pt idx="205">
                  <c:v>478</c:v>
                </c:pt>
                <c:pt idx="206">
                  <c:v>479</c:v>
                </c:pt>
                <c:pt idx="207">
                  <c:v>480</c:v>
                </c:pt>
                <c:pt idx="208">
                  <c:v>481</c:v>
                </c:pt>
                <c:pt idx="209">
                  <c:v>482</c:v>
                </c:pt>
                <c:pt idx="210">
                  <c:v>483</c:v>
                </c:pt>
                <c:pt idx="211">
                  <c:v>484</c:v>
                </c:pt>
                <c:pt idx="212">
                  <c:v>485</c:v>
                </c:pt>
                <c:pt idx="213">
                  <c:v>486</c:v>
                </c:pt>
                <c:pt idx="214">
                  <c:v>487</c:v>
                </c:pt>
                <c:pt idx="215">
                  <c:v>488</c:v>
                </c:pt>
                <c:pt idx="216">
                  <c:v>489</c:v>
                </c:pt>
                <c:pt idx="217">
                  <c:v>490</c:v>
                </c:pt>
                <c:pt idx="218">
                  <c:v>491</c:v>
                </c:pt>
                <c:pt idx="219">
                  <c:v>492</c:v>
                </c:pt>
                <c:pt idx="220">
                  <c:v>493</c:v>
                </c:pt>
                <c:pt idx="221">
                  <c:v>494</c:v>
                </c:pt>
                <c:pt idx="222">
                  <c:v>495</c:v>
                </c:pt>
                <c:pt idx="223">
                  <c:v>496</c:v>
                </c:pt>
                <c:pt idx="224">
                  <c:v>497</c:v>
                </c:pt>
                <c:pt idx="225">
                  <c:v>498</c:v>
                </c:pt>
                <c:pt idx="226">
                  <c:v>499</c:v>
                </c:pt>
                <c:pt idx="227">
                  <c:v>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DC5-4C0D-8275-998BAC8F6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137967"/>
        <c:axId val="2086138447"/>
      </c:scatterChart>
      <c:valAx>
        <c:axId val="2086137967"/>
        <c:scaling>
          <c:orientation val="minMax"/>
          <c:min val="0.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2086138447"/>
        <c:crosses val="autoZero"/>
        <c:crossBetween val="midCat"/>
      </c:valAx>
      <c:valAx>
        <c:axId val="2086138447"/>
        <c:scaling>
          <c:orientation val="minMax"/>
          <c:max val="500"/>
          <c:min val="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208613796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510540</xdr:colOff>
      <xdr:row>0</xdr:row>
      <xdr:rowOff>83820</xdr:rowOff>
    </xdr:from>
    <xdr:to>
      <xdr:col>21</xdr:col>
      <xdr:colOff>368411</xdr:colOff>
      <xdr:row>19</xdr:row>
      <xdr:rowOff>181474</xdr:rowOff>
    </xdr:to>
    <xdr:grpSp>
      <xdr:nvGrpSpPr>
        <xdr:cNvPr id="7" name="Skupina 6">
          <a:extLst>
            <a:ext uri="{FF2B5EF4-FFF2-40B4-BE49-F238E27FC236}">
              <a16:creationId xmlns:a16="http://schemas.microsoft.com/office/drawing/2014/main" id="{65F5CF3D-420A-72E5-9F28-8664EEA42C89}"/>
            </a:ext>
          </a:extLst>
        </xdr:cNvPr>
        <xdr:cNvGrpSpPr/>
      </xdr:nvGrpSpPr>
      <xdr:grpSpPr>
        <a:xfrm>
          <a:off x="7985760" y="83820"/>
          <a:ext cx="5344271" cy="3572374"/>
          <a:chOff x="7604760" y="289560"/>
          <a:chExt cx="5344271" cy="3572374"/>
        </a:xfrm>
      </xdr:grpSpPr>
      <xdr:pic>
        <xdr:nvPicPr>
          <xdr:cNvPr id="2" name="Obrázek 1">
            <a:extLst>
              <a:ext uri="{FF2B5EF4-FFF2-40B4-BE49-F238E27FC236}">
                <a16:creationId xmlns:a16="http://schemas.microsoft.com/office/drawing/2014/main" id="{CBCCB6FB-EC52-BB5E-AB5E-1713FB37D77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604760" y="289560"/>
            <a:ext cx="5344271" cy="3572374"/>
          </a:xfrm>
          <a:prstGeom prst="rect">
            <a:avLst/>
          </a:prstGeom>
        </xdr:spPr>
      </xdr:pic>
      <xdr:sp macro="" textlink="">
        <xdr:nvSpPr>
          <xdr:cNvPr id="3" name="TextovéPole 2">
            <a:extLst>
              <a:ext uri="{FF2B5EF4-FFF2-40B4-BE49-F238E27FC236}">
                <a16:creationId xmlns:a16="http://schemas.microsoft.com/office/drawing/2014/main" id="{169B3BD1-5E82-BBAE-EED8-FE0490F7913A}"/>
              </a:ext>
            </a:extLst>
          </xdr:cNvPr>
          <xdr:cNvSpPr txBox="1"/>
        </xdr:nvSpPr>
        <xdr:spPr>
          <a:xfrm>
            <a:off x="8382000" y="358140"/>
            <a:ext cx="266700" cy="32004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cs-CZ" sz="1600"/>
              <a:t>1</a:t>
            </a:r>
          </a:p>
        </xdr:txBody>
      </xdr:sp>
      <xdr:sp macro="" textlink="">
        <xdr:nvSpPr>
          <xdr:cNvPr id="4" name="TextovéPole 3">
            <a:extLst>
              <a:ext uri="{FF2B5EF4-FFF2-40B4-BE49-F238E27FC236}">
                <a16:creationId xmlns:a16="http://schemas.microsoft.com/office/drawing/2014/main" id="{D365E705-C46F-51CC-8ACD-218B4621E10E}"/>
              </a:ext>
            </a:extLst>
          </xdr:cNvPr>
          <xdr:cNvSpPr txBox="1"/>
        </xdr:nvSpPr>
        <xdr:spPr>
          <a:xfrm>
            <a:off x="11917680" y="480060"/>
            <a:ext cx="281940" cy="32004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cs-CZ" sz="1600"/>
              <a:t>2</a:t>
            </a:r>
          </a:p>
        </xdr:txBody>
      </xdr:sp>
      <xdr:sp macro="" textlink="">
        <xdr:nvSpPr>
          <xdr:cNvPr id="5" name="TextovéPole 4">
            <a:extLst>
              <a:ext uri="{FF2B5EF4-FFF2-40B4-BE49-F238E27FC236}">
                <a16:creationId xmlns:a16="http://schemas.microsoft.com/office/drawing/2014/main" id="{B74D002B-1E86-C2CF-B0A6-4A00C274B42D}"/>
              </a:ext>
            </a:extLst>
          </xdr:cNvPr>
          <xdr:cNvSpPr txBox="1"/>
        </xdr:nvSpPr>
        <xdr:spPr>
          <a:xfrm>
            <a:off x="11894820" y="3070860"/>
            <a:ext cx="259080" cy="3276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cs-CZ" sz="1600"/>
              <a:t>3</a:t>
            </a:r>
          </a:p>
        </xdr:txBody>
      </xdr:sp>
      <xdr:sp macro="" textlink="">
        <xdr:nvSpPr>
          <xdr:cNvPr id="6" name="TextovéPole 5">
            <a:extLst>
              <a:ext uri="{FF2B5EF4-FFF2-40B4-BE49-F238E27FC236}">
                <a16:creationId xmlns:a16="http://schemas.microsoft.com/office/drawing/2014/main" id="{043E01D0-2DB6-0D17-501E-AE73F3AAE62E}"/>
              </a:ext>
            </a:extLst>
          </xdr:cNvPr>
          <xdr:cNvSpPr txBox="1"/>
        </xdr:nvSpPr>
        <xdr:spPr>
          <a:xfrm>
            <a:off x="8153400" y="3261360"/>
            <a:ext cx="289560" cy="35052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cs-CZ" sz="1600"/>
              <a:t>4</a:t>
            </a:r>
          </a:p>
        </xdr:txBody>
      </xdr:sp>
    </xdr:grpSp>
    <xdr:clientData/>
  </xdr:twoCellAnchor>
  <xdr:twoCellAnchor>
    <xdr:from>
      <xdr:col>23</xdr:col>
      <xdr:colOff>464820</xdr:colOff>
      <xdr:row>2</xdr:row>
      <xdr:rowOff>99060</xdr:rowOff>
    </xdr:from>
    <xdr:to>
      <xdr:col>31</xdr:col>
      <xdr:colOff>160020</xdr:colOff>
      <xdr:row>17</xdr:row>
      <xdr:rowOff>99060</xdr:rowOff>
    </xdr:to>
    <xdr:graphicFrame macro="">
      <xdr:nvGraphicFramePr>
        <xdr:cNvPr id="11" name="Graf 10">
          <a:extLst>
            <a:ext uri="{FF2B5EF4-FFF2-40B4-BE49-F238E27FC236}">
              <a16:creationId xmlns:a16="http://schemas.microsoft.com/office/drawing/2014/main" id="{3A4BFB56-449E-404F-AF5D-7B28462D56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510540</xdr:colOff>
      <xdr:row>0</xdr:row>
      <xdr:rowOff>83820</xdr:rowOff>
    </xdr:from>
    <xdr:to>
      <xdr:col>21</xdr:col>
      <xdr:colOff>368411</xdr:colOff>
      <xdr:row>19</xdr:row>
      <xdr:rowOff>181474</xdr:rowOff>
    </xdr:to>
    <xdr:grpSp>
      <xdr:nvGrpSpPr>
        <xdr:cNvPr id="2" name="Skupina 1">
          <a:extLst>
            <a:ext uri="{FF2B5EF4-FFF2-40B4-BE49-F238E27FC236}">
              <a16:creationId xmlns:a16="http://schemas.microsoft.com/office/drawing/2014/main" id="{5E700303-73B1-4DC4-AD46-94BEA14E51B9}"/>
            </a:ext>
          </a:extLst>
        </xdr:cNvPr>
        <xdr:cNvGrpSpPr/>
      </xdr:nvGrpSpPr>
      <xdr:grpSpPr>
        <a:xfrm>
          <a:off x="7825740" y="83820"/>
          <a:ext cx="5344271" cy="3572374"/>
          <a:chOff x="7604760" y="289560"/>
          <a:chExt cx="5344271" cy="3572374"/>
        </a:xfrm>
      </xdr:grpSpPr>
      <xdr:pic>
        <xdr:nvPicPr>
          <xdr:cNvPr id="3" name="Obrázek 2">
            <a:extLst>
              <a:ext uri="{FF2B5EF4-FFF2-40B4-BE49-F238E27FC236}">
                <a16:creationId xmlns:a16="http://schemas.microsoft.com/office/drawing/2014/main" id="{30EA0E88-D95C-54F8-BBDE-B5438CE4417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604760" y="289560"/>
            <a:ext cx="5344271" cy="3572374"/>
          </a:xfrm>
          <a:prstGeom prst="rect">
            <a:avLst/>
          </a:prstGeom>
        </xdr:spPr>
      </xdr:pic>
      <xdr:sp macro="" textlink="">
        <xdr:nvSpPr>
          <xdr:cNvPr id="4" name="TextovéPole 3">
            <a:extLst>
              <a:ext uri="{FF2B5EF4-FFF2-40B4-BE49-F238E27FC236}">
                <a16:creationId xmlns:a16="http://schemas.microsoft.com/office/drawing/2014/main" id="{4403957E-128F-9D21-6EBB-42B59DACC19B}"/>
              </a:ext>
            </a:extLst>
          </xdr:cNvPr>
          <xdr:cNvSpPr txBox="1"/>
        </xdr:nvSpPr>
        <xdr:spPr>
          <a:xfrm>
            <a:off x="8382000" y="358140"/>
            <a:ext cx="266700" cy="32004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cs-CZ" sz="1600"/>
              <a:t>1</a:t>
            </a:r>
          </a:p>
        </xdr:txBody>
      </xdr:sp>
      <xdr:sp macro="" textlink="">
        <xdr:nvSpPr>
          <xdr:cNvPr id="5" name="TextovéPole 4">
            <a:extLst>
              <a:ext uri="{FF2B5EF4-FFF2-40B4-BE49-F238E27FC236}">
                <a16:creationId xmlns:a16="http://schemas.microsoft.com/office/drawing/2014/main" id="{C7786319-32A0-32A3-8938-8F72746C04B9}"/>
              </a:ext>
            </a:extLst>
          </xdr:cNvPr>
          <xdr:cNvSpPr txBox="1"/>
        </xdr:nvSpPr>
        <xdr:spPr>
          <a:xfrm>
            <a:off x="11917680" y="480060"/>
            <a:ext cx="281940" cy="32004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cs-CZ" sz="1600"/>
              <a:t>2</a:t>
            </a:r>
          </a:p>
        </xdr:txBody>
      </xdr:sp>
      <xdr:sp macro="" textlink="">
        <xdr:nvSpPr>
          <xdr:cNvPr id="6" name="TextovéPole 5">
            <a:extLst>
              <a:ext uri="{FF2B5EF4-FFF2-40B4-BE49-F238E27FC236}">
                <a16:creationId xmlns:a16="http://schemas.microsoft.com/office/drawing/2014/main" id="{CA85C4AE-B96E-9089-20F5-DD1BCDB9FA4B}"/>
              </a:ext>
            </a:extLst>
          </xdr:cNvPr>
          <xdr:cNvSpPr txBox="1"/>
        </xdr:nvSpPr>
        <xdr:spPr>
          <a:xfrm>
            <a:off x="11894820" y="3070860"/>
            <a:ext cx="259080" cy="32766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cs-CZ" sz="1600"/>
              <a:t>3</a:t>
            </a:r>
          </a:p>
        </xdr:txBody>
      </xdr:sp>
      <xdr:sp macro="" textlink="">
        <xdr:nvSpPr>
          <xdr:cNvPr id="7" name="TextovéPole 6">
            <a:extLst>
              <a:ext uri="{FF2B5EF4-FFF2-40B4-BE49-F238E27FC236}">
                <a16:creationId xmlns:a16="http://schemas.microsoft.com/office/drawing/2014/main" id="{40B2BD27-9F37-40BB-2A78-B215411F1EDD}"/>
              </a:ext>
            </a:extLst>
          </xdr:cNvPr>
          <xdr:cNvSpPr txBox="1"/>
        </xdr:nvSpPr>
        <xdr:spPr>
          <a:xfrm>
            <a:off x="8153400" y="3261360"/>
            <a:ext cx="289560" cy="350520"/>
          </a:xfrm>
          <a:prstGeom prst="rect">
            <a:avLst/>
          </a:prstGeom>
          <a:solidFill>
            <a:schemeClr val="lt1"/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cs-CZ" sz="1600"/>
              <a:t>4</a:t>
            </a:r>
          </a:p>
        </xdr:txBody>
      </xdr:sp>
    </xdr:grpSp>
    <xdr:clientData/>
  </xdr:twoCellAnchor>
  <xdr:twoCellAnchor>
    <xdr:from>
      <xdr:col>21</xdr:col>
      <xdr:colOff>472440</xdr:colOff>
      <xdr:row>3</xdr:row>
      <xdr:rowOff>68580</xdr:rowOff>
    </xdr:from>
    <xdr:to>
      <xdr:col>29</xdr:col>
      <xdr:colOff>167640</xdr:colOff>
      <xdr:row>18</xdr:row>
      <xdr:rowOff>68580</xdr:rowOff>
    </xdr:to>
    <xdr:graphicFrame macro="">
      <xdr:nvGraphicFramePr>
        <xdr:cNvPr id="8" name="Graf 7">
          <a:extLst>
            <a:ext uri="{FF2B5EF4-FFF2-40B4-BE49-F238E27FC236}">
              <a16:creationId xmlns:a16="http://schemas.microsoft.com/office/drawing/2014/main" id="{46BC7785-D329-4D96-A895-60E8413B0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441960</xdr:colOff>
      <xdr:row>21</xdr:row>
      <xdr:rowOff>175260</xdr:rowOff>
    </xdr:from>
    <xdr:to>
      <xdr:col>16</xdr:col>
      <xdr:colOff>594722</xdr:colOff>
      <xdr:row>28</xdr:row>
      <xdr:rowOff>76365</xdr:rowOff>
    </xdr:to>
    <xdr:pic>
      <xdr:nvPicPr>
        <xdr:cNvPr id="9" name="Obrázek 8">
          <a:extLst>
            <a:ext uri="{FF2B5EF4-FFF2-40B4-BE49-F238E27FC236}">
              <a16:creationId xmlns:a16="http://schemas.microsoft.com/office/drawing/2014/main" id="{598F4F20-3104-8B7E-FA59-FE1CBCC7E8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57160" y="4015740"/>
          <a:ext cx="2591162" cy="11812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167640</xdr:colOff>
      <xdr:row>1</xdr:row>
      <xdr:rowOff>1</xdr:rowOff>
    </xdr:from>
    <xdr:to>
      <xdr:col>20</xdr:col>
      <xdr:colOff>262875</xdr:colOff>
      <xdr:row>27</xdr:row>
      <xdr:rowOff>60961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C994F6E4-7F5A-5075-5FF6-4A93B26B0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11640" y="182881"/>
          <a:ext cx="3143235" cy="4815840"/>
        </a:xfrm>
        <a:prstGeom prst="rect">
          <a:avLst/>
        </a:prstGeom>
      </xdr:spPr>
    </xdr:pic>
    <xdr:clientData/>
  </xdr:twoCellAnchor>
  <xdr:twoCellAnchor editAs="oneCell">
    <xdr:from>
      <xdr:col>8</xdr:col>
      <xdr:colOff>327661</xdr:colOff>
      <xdr:row>0</xdr:row>
      <xdr:rowOff>53340</xdr:rowOff>
    </xdr:from>
    <xdr:to>
      <xdr:col>14</xdr:col>
      <xdr:colOff>568867</xdr:colOff>
      <xdr:row>10</xdr:row>
      <xdr:rowOff>160499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365954BF-B979-9271-8A1E-793B015B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04461" y="53340"/>
          <a:ext cx="3898806" cy="19359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AppData/Roaming/Microsoft/AddIns/CoolProp.xlam" TargetMode="External"/><Relationship Id="rId2" Type="http://schemas.openxmlformats.org/officeDocument/2006/relationships/externalLinkPath" Target="file:///C:\Users\Paxin45\AppData\Roaming\Microsoft\AddIns\CoolProp.xlam" TargetMode="External"/><Relationship Id="rId1" Type="http://schemas.openxmlformats.org/officeDocument/2006/relationships/externalLinkPath" Target="/Users/Paxin45/AppData/Roaming/Microsoft/AddIns/CoolProp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3"/>
    </sheetNames>
    <definedNames>
      <definedName name="propssi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30"/>
  <sheetViews>
    <sheetView tabSelected="1" workbookViewId="0">
      <selection activeCell="G23" sqref="G23"/>
    </sheetView>
  </sheetViews>
  <sheetFormatPr defaultRowHeight="14.4" x14ac:dyDescent="0.3"/>
  <cols>
    <col min="2" max="2" width="8.88671875" customWidth="1"/>
    <col min="4" max="4" width="11.21875" bestFit="1" customWidth="1"/>
    <col min="5" max="6" width="8.88671875" customWidth="1"/>
    <col min="35" max="36" width="8.88671875" customWidth="1"/>
  </cols>
  <sheetData>
    <row r="1" spans="1:37" x14ac:dyDescent="0.3">
      <c r="B1" s="1" t="s">
        <v>0</v>
      </c>
      <c r="W1" t="s">
        <v>35</v>
      </c>
      <c r="Z1" t="s">
        <v>47</v>
      </c>
      <c r="AC1" t="s">
        <v>49</v>
      </c>
      <c r="AF1" t="s">
        <v>50</v>
      </c>
      <c r="AI1" t="s">
        <v>51</v>
      </c>
    </row>
    <row r="2" spans="1:37" x14ac:dyDescent="0.3">
      <c r="A2" t="s">
        <v>5</v>
      </c>
      <c r="B2" s="2">
        <v>80</v>
      </c>
      <c r="C2" t="s">
        <v>11</v>
      </c>
      <c r="D2" s="3" t="s">
        <v>4</v>
      </c>
      <c r="E2" s="7">
        <v>0.75</v>
      </c>
      <c r="W2" t="s">
        <v>31</v>
      </c>
      <c r="X2" t="s">
        <v>32</v>
      </c>
      <c r="Y2" t="s">
        <v>30</v>
      </c>
      <c r="Z2" t="s">
        <v>31</v>
      </c>
      <c r="AA2" t="s">
        <v>32</v>
      </c>
      <c r="AB2" t="s">
        <v>30</v>
      </c>
      <c r="AC2" t="s">
        <v>31</v>
      </c>
      <c r="AD2" t="s">
        <v>32</v>
      </c>
      <c r="AE2" t="s">
        <v>30</v>
      </c>
      <c r="AF2" t="s">
        <v>31</v>
      </c>
      <c r="AG2" t="s">
        <v>32</v>
      </c>
      <c r="AH2" t="s">
        <v>30</v>
      </c>
      <c r="AI2" t="s">
        <v>31</v>
      </c>
      <c r="AJ2" t="s">
        <v>32</v>
      </c>
      <c r="AK2" t="s">
        <v>30</v>
      </c>
    </row>
    <row r="3" spans="1:37" x14ac:dyDescent="0.3">
      <c r="A3" t="s">
        <v>6</v>
      </c>
      <c r="B3" s="2">
        <v>130</v>
      </c>
      <c r="C3" t="s">
        <v>11</v>
      </c>
      <c r="D3" t="s">
        <v>12</v>
      </c>
      <c r="E3" s="2">
        <v>500</v>
      </c>
      <c r="F3" t="s">
        <v>13</v>
      </c>
      <c r="W3" cm="1">
        <f t="array" ref="W3">[1]!propssi("S","Q",0,"T",Y3,$W$1)/1000</f>
        <v>0.99935383812074075</v>
      </c>
      <c r="X3" cm="1">
        <f t="array" ref="X3">[1]!propssi("S","Q",1,"T",Y3,$W$1)/1000</f>
        <v>1.7454097047617863</v>
      </c>
      <c r="Y3">
        <v>273</v>
      </c>
      <c r="Z3" cm="1">
        <f t="array" ref="Z3">[1]!propssi("S","Q",0,"T",AB3,$Z$1)/1000</f>
        <v>0.99933750805296717</v>
      </c>
      <c r="AA3" cm="1">
        <f t="array" ref="AA3">[1]!propssi("S","Q",1,"T",AB3,$Z$1)/1000</f>
        <v>1.8069559969774449</v>
      </c>
      <c r="AB3">
        <v>273</v>
      </c>
      <c r="AC3" cm="1">
        <f t="array" ref="AC3">[1]!propssi("S","Q",0,"T",AE3,$AC$1)/1000</f>
        <v>0.99935803970376491</v>
      </c>
      <c r="AD3" cm="1">
        <f t="array" ref="AD3">[1]!propssi("S","Q",1,"T",AE3,$AC$1)/1000</f>
        <v>1.6569548414411133</v>
      </c>
      <c r="AE3">
        <v>273</v>
      </c>
      <c r="AF3" cm="1">
        <f t="array" ref="AF3">[1]!propssi("S","Q",0,"T",AH3,$AF$1)/1000</f>
        <v>0.99931374563295394</v>
      </c>
      <c r="AG3" cm="1">
        <f t="array" ref="AG3">[1]!propssi("S","Q",1,"T",AH3,$AF$1)/1000</f>
        <v>1.7980034610763109</v>
      </c>
      <c r="AH3">
        <v>273</v>
      </c>
      <c r="AI3" cm="1">
        <f t="array" ref="AI3">[1]!propssi("S","Q",0,"T",AK3,$AI$1)/1000</f>
        <v>1.0821968592132907</v>
      </c>
      <c r="AJ3" cm="1">
        <f t="array" ref="AJ3">[1]!propssi("S","Q",1,"T",AK3,$AI$1)/1000</f>
        <v>1.8152172112352949</v>
      </c>
      <c r="AK3">
        <v>273</v>
      </c>
    </row>
    <row r="4" spans="1:37" x14ac:dyDescent="0.3">
      <c r="A4" t="s">
        <v>7</v>
      </c>
      <c r="B4" s="2">
        <v>5</v>
      </c>
      <c r="C4" t="s">
        <v>1</v>
      </c>
      <c r="W4" cm="1">
        <f t="array" ref="W4">[1]!propssi("S","Q",0,"T",Y4,$W$1)/1000</f>
        <v>1.0036571124029343</v>
      </c>
      <c r="X4" cm="1">
        <f t="array" ref="X4">[1]!propssi("S","Q",1,"T",Y4,$W$1)/1000</f>
        <v>1.7452439723278919</v>
      </c>
      <c r="Y4">
        <v>274</v>
      </c>
      <c r="Z4" cm="1">
        <f t="array" ref="Z4">[1]!propssi("S","Q",0,"T",AB4,$Z$1)/1000</f>
        <v>1.0037510542113219</v>
      </c>
      <c r="AA4" cm="1">
        <f t="array" ref="AA4">[1]!propssi("S","Q",1,"T",AB4,$Z$1)/1000</f>
        <v>1.8064890259302731</v>
      </c>
      <c r="AB4">
        <v>274</v>
      </c>
      <c r="AC4" cm="1">
        <f t="array" ref="AC4">[1]!propssi("S","Q",0,"T",AE4,$AC$1)/1000</f>
        <v>1.003634309600933</v>
      </c>
      <c r="AD4" cm="1">
        <f t="array" ref="AD4">[1]!propssi("S","Q",1,"T",AE4,$AC$1)/1000</f>
        <v>1.6572754728492241</v>
      </c>
      <c r="AE4">
        <v>274</v>
      </c>
      <c r="AF4" cm="1">
        <f t="array" ref="AF4">[1]!propssi("S","Q",0,"T",AH4,$AF$1)/1000</f>
        <v>1.0038849578137143</v>
      </c>
      <c r="AG4" cm="1">
        <f t="array" ref="AG4">[1]!propssi("S","Q",1,"T",AH4,$AF$1)/1000</f>
        <v>1.7974937299322786</v>
      </c>
      <c r="AH4">
        <v>274</v>
      </c>
      <c r="AI4" cm="1">
        <f t="array" ref="AI4">[1]!propssi("S","Q",0,"T",AK4,$AI$1)/1000</f>
        <v>1.0865259412803143</v>
      </c>
      <c r="AJ4" cm="1">
        <f t="array" ref="AJ4">[1]!propssi("S","Q",1,"T",AK4,$AI$1)/1000</f>
        <v>1.8150509329522475</v>
      </c>
      <c r="AK4">
        <v>274</v>
      </c>
    </row>
    <row r="5" spans="1:37" x14ac:dyDescent="0.3">
      <c r="A5" t="s">
        <v>8</v>
      </c>
      <c r="B5" s="2">
        <v>5</v>
      </c>
      <c r="C5" t="s">
        <v>1</v>
      </c>
      <c r="F5" t="s">
        <v>33</v>
      </c>
      <c r="W5" cm="1">
        <f t="array" ref="W5">[1]!propssi("S","Q",0,"T",Y5,$W$1)/1000</f>
        <v>1.007949921588732</v>
      </c>
      <c r="X5" cm="1">
        <f t="array" ref="X5">[1]!propssi("S","Q",1,"T",Y5,$W$1)/1000</f>
        <v>1.7450954296239909</v>
      </c>
      <c r="Y5">
        <v>275</v>
      </c>
      <c r="Z5" cm="1">
        <f t="array" ref="Z5">[1]!propssi("S","Q",0,"T",AB5,$Z$1)/1000</f>
        <v>1.0081574469674501</v>
      </c>
      <c r="AA5" cm="1">
        <f t="array" ref="AA5">[1]!propssi("S","Q",1,"T",AB5,$Z$1)/1000</f>
        <v>1.8060402493455878</v>
      </c>
      <c r="AB5">
        <v>275</v>
      </c>
      <c r="AC5" cm="1">
        <f t="array" ref="AC5">[1]!propssi("S","Q",0,"T",AE5,$AC$1)/1000</f>
        <v>1.0079024566796952</v>
      </c>
      <c r="AD5" cm="1">
        <f t="array" ref="AD5">[1]!propssi("S","Q",1,"T",AE5,$AC$1)/1000</f>
        <v>1.6576136299959181</v>
      </c>
      <c r="AE5">
        <v>275</v>
      </c>
      <c r="AF5" cm="1">
        <f t="array" ref="AF5">[1]!propssi("S","Q",0,"T",AH5,$AF$1)/1000</f>
        <v>1.0084472613505648</v>
      </c>
      <c r="AG5" cm="1">
        <f t="array" ref="AG5">[1]!propssi("S","Q",1,"T",AH5,$AF$1)/1000</f>
        <v>1.7970018120329081</v>
      </c>
      <c r="AH5">
        <v>275</v>
      </c>
      <c r="AI5" cm="1">
        <f t="array" ref="AI5">[1]!propssi("S","Q",0,"T",AK5,$AI$1)/1000</f>
        <v>1.0908466724709434</v>
      </c>
      <c r="AJ5" cm="1">
        <f t="array" ref="AJ5">[1]!propssi("S","Q",1,"T",AK5,$AI$1)/1000</f>
        <v>1.8149037332518787</v>
      </c>
      <c r="AK5">
        <v>275</v>
      </c>
    </row>
    <row r="6" spans="1:37" x14ac:dyDescent="0.3">
      <c r="A6" t="s">
        <v>2</v>
      </c>
      <c r="B6" s="2" t="str">
        <f>G7</f>
        <v>REFPROP::R1233ZDE[0.245]&amp;R1234ZEZ[0.4]&amp;R1336MZZZ[0.3]&amp;R142B[0.055]</v>
      </c>
      <c r="F6" t="s">
        <v>34</v>
      </c>
      <c r="W6" cm="1">
        <f t="array" ref="W6">[1]!propssi("S","Q",0,"T",Y6,$W$1)/1000</f>
        <v>1.0122323565496221</v>
      </c>
      <c r="X6" cm="1">
        <f t="array" ref="X6">[1]!propssi("S","Q",1,"T",Y6,$W$1)/1000</f>
        <v>1.7449637387150259</v>
      </c>
      <c r="Y6">
        <v>276</v>
      </c>
      <c r="Z6" cm="1">
        <f t="array" ref="Z6">[1]!propssi("S","Q",0,"T",AB6,$Z$1)/1000</f>
        <v>1.0125567870077967</v>
      </c>
      <c r="AA6" cm="1">
        <f t="array" ref="AA6">[1]!propssi("S","Q",1,"T",AB6,$Z$1)/1000</f>
        <v>1.8056093490803498</v>
      </c>
      <c r="AB6">
        <v>276</v>
      </c>
      <c r="AC6" cm="1">
        <f t="array" ref="AC6">[1]!propssi("S","Q",0,"T",AE6,$AC$1)/1000</f>
        <v>1.012162531181805</v>
      </c>
      <c r="AD6" cm="1">
        <f t="array" ref="AD6">[1]!propssi("S","Q",1,"T",AE6,$AC$1)/1000</f>
        <v>1.657968981552056</v>
      </c>
      <c r="AE6">
        <v>276</v>
      </c>
      <c r="AF6" cm="1">
        <f t="array" ref="AF6">[1]!propssi("S","Q",0,"T",AH6,$AF$1)/1000</f>
        <v>1.0130007730521566</v>
      </c>
      <c r="AG6" cm="1">
        <f t="array" ref="AG6">[1]!propssi("S","Q",1,"T",AH6,$AF$1)/1000</f>
        <v>1.7965273582789791</v>
      </c>
      <c r="AH6">
        <v>276</v>
      </c>
      <c r="AI6" cm="1">
        <f t="array" ref="AI6">[1]!propssi("S","Q",0,"T",AK6,$AI$1)/1000</f>
        <v>1.0951591337833957</v>
      </c>
      <c r="AJ6" cm="1">
        <f t="array" ref="AJ6">[1]!propssi("S","Q",1,"T",AK6,$AI$1)/1000</f>
        <v>1.8147752487432374</v>
      </c>
      <c r="AK6">
        <v>276</v>
      </c>
    </row>
    <row r="7" spans="1:37" x14ac:dyDescent="0.3">
      <c r="A7" t="s">
        <v>3</v>
      </c>
      <c r="B7" s="2"/>
      <c r="F7" t="s">
        <v>37</v>
      </c>
      <c r="G7" t="s">
        <v>52</v>
      </c>
      <c r="W7" cm="1">
        <f t="array" ref="W7">[1]!propssi("S","Q",0,"T",Y7,$W$1)/1000</f>
        <v>1.0165045076500987</v>
      </c>
      <c r="X7" cm="1">
        <f t="array" ref="X7">[1]!propssi("S","Q",1,"T",Y7,$W$1)/1000</f>
        <v>1.7448485673378957</v>
      </c>
      <c r="Y7">
        <v>277</v>
      </c>
      <c r="Z7" cm="1">
        <f t="array" ref="Z7">[1]!propssi("S","Q",0,"T",AB7,$Z$1)/1000</f>
        <v>1.0169491737748657</v>
      </c>
      <c r="AA7" cm="1">
        <f t="array" ref="AA7">[1]!propssi("S","Q",1,"T",AB7,$Z$1)/1000</f>
        <v>1.8051960109803664</v>
      </c>
      <c r="AB7">
        <v>277</v>
      </c>
      <c r="AC7" cm="1">
        <f t="array" ref="AC7">[1]!propssi("S","Q",0,"T",AE7,$AC$1)/1000</f>
        <v>1.0164145831123341</v>
      </c>
      <c r="AD7" cm="1">
        <f t="array" ref="AD7">[1]!propssi("S","Q",1,"T",AE7,$AC$1)/1000</f>
        <v>1.6583412015335905</v>
      </c>
      <c r="AE7">
        <v>277</v>
      </c>
      <c r="AF7" cm="1">
        <f t="array" ref="AF7">[1]!propssi("S","Q",0,"T",AH7,$AF$1)/1000</f>
        <v>1.0175456089741812</v>
      </c>
      <c r="AG7" cm="1">
        <f t="array" ref="AG7">[1]!propssi("S","Q",1,"T",AH7,$AF$1)/1000</f>
        <v>1.796070023839893</v>
      </c>
      <c r="AH7">
        <v>277</v>
      </c>
      <c r="AI7" cm="1">
        <f t="array" ref="AI7">[1]!propssi("S","Q",0,"T",AK7,$AI$1)/1000</f>
        <v>1.0994634055651711</v>
      </c>
      <c r="AJ7" cm="1">
        <f t="array" ref="AJ7">[1]!propssi("S","Q",1,"T",AK7,$AI$1)/1000</f>
        <v>1.8146651217902088</v>
      </c>
      <c r="AK7">
        <v>277</v>
      </c>
    </row>
    <row r="8" spans="1:37" x14ac:dyDescent="0.3">
      <c r="W8" cm="1">
        <f t="array" ref="W8">[1]!propssi("S","Q",0,"T",Y8,$W$1)/1000</f>
        <v>1.0207664647681178</v>
      </c>
      <c r="X8" cm="1">
        <f t="array" ref="X8">[1]!propssi("S","Q",1,"T",Y8,$W$1)/1000</f>
        <v>1.744749588791072</v>
      </c>
      <c r="Y8">
        <v>278</v>
      </c>
      <c r="Z8" cm="1">
        <f t="array" ref="Z8">[1]!propssi("S","Q",0,"T",AB8,$Z$1)/1000</f>
        <v>1.0213347055045445</v>
      </c>
      <c r="AA8" cm="1">
        <f t="array" ref="AA8">[1]!propssi("S","Q",1,"T",AB8,$Z$1)/1000</f>
        <v>1.8047999247841711</v>
      </c>
      <c r="AB8">
        <v>278</v>
      </c>
      <c r="AC8" cm="1">
        <f t="array" ref="AC8">[1]!propssi("S","Q",0,"T",AE8,$AC$1)/1000</f>
        <v>1.0206586622503102</v>
      </c>
      <c r="AD8" cm="1">
        <f t="array" ref="AD8">[1]!propssi("S","Q",1,"T",AE8,$AC$1)/1000</f>
        <v>1.6587299691895312</v>
      </c>
      <c r="AE8">
        <v>278</v>
      </c>
      <c r="AF8" cm="1">
        <f t="array" ref="AF8">[1]!propssi("S","Q",0,"T",AH8,$AF$1)/1000</f>
        <v>1.0220818844542183</v>
      </c>
      <c r="AG8" cm="1">
        <f t="array" ref="AG8">[1]!propssi("S","Q",1,"T",AH8,$AF$1)/1000</f>
        <v>1.795629468024516</v>
      </c>
      <c r="AH8">
        <v>278</v>
      </c>
      <c r="AI8" cm="1">
        <f t="array" ref="AI8">[1]!propssi("S","Q",0,"T",AK8,$AI$1)/1000</f>
        <v>1.1037595675376273</v>
      </c>
      <c r="AJ8" cm="1">
        <f t="array" ref="AJ8">[1]!propssi("S","Q",1,"T",AK8,$AI$1)/1000</f>
        <v>1.8145730003914124</v>
      </c>
      <c r="AK8">
        <v>278</v>
      </c>
    </row>
    <row r="9" spans="1:37" x14ac:dyDescent="0.3">
      <c r="B9" s="4"/>
      <c r="C9" s="4"/>
      <c r="D9" s="4"/>
      <c r="E9" s="4"/>
      <c r="F9" s="4"/>
      <c r="G9" s="4"/>
      <c r="J9" t="s">
        <v>17</v>
      </c>
      <c r="K9">
        <f>E11-E15</f>
        <v>88.852386548048685</v>
      </c>
      <c r="L9" t="s">
        <v>19</v>
      </c>
      <c r="W9" cm="1">
        <f t="array" ref="W9">[1]!propssi("S","Q",0,"T",Y9,$W$1)/1000</f>
        <v>1.025018317315169</v>
      </c>
      <c r="X9" cm="1">
        <f t="array" ref="X9">[1]!propssi("S","Q",1,"T",Y9,$W$1)/1000</f>
        <v>1.7446664818249453</v>
      </c>
      <c r="Y9">
        <v>279</v>
      </c>
      <c r="Z9" cm="1">
        <f t="array" ref="Z9">[1]!propssi("S","Q",0,"T",AB9,$Z$1)/1000</f>
        <v>1.0257134792633278</v>
      </c>
      <c r="AA9" cm="1">
        <f t="array" ref="AA9">[1]!propssi("S","Q",1,"T",AB9,$Z$1)/1000</f>
        <v>1.8044207840280946</v>
      </c>
      <c r="AB9">
        <v>279</v>
      </c>
      <c r="AC9" cm="1">
        <f t="array" ref="AC9">[1]!propssi("S","Q",0,"T",AE9,$AC$1)/1000</f>
        <v>1.0248948181594164</v>
      </c>
      <c r="AD9" cm="1">
        <f t="array" ref="AD9">[1]!propssi("S","Q",1,"T",AE9,$AC$1)/1000</f>
        <v>1.6591349688905288</v>
      </c>
      <c r="AE9">
        <v>279</v>
      </c>
      <c r="AF9" cm="1">
        <f t="array" ref="AF9">[1]!propssi("S","Q",0,"T",AH9,$AF$1)/1000</f>
        <v>1.0266097141466439</v>
      </c>
      <c r="AG9" cm="1">
        <f t="array" ref="AG9">[1]!propssi("S","Q",1,"T",AH9,$AF$1)/1000</f>
        <v>1.795205354153552</v>
      </c>
      <c r="AH9">
        <v>279</v>
      </c>
      <c r="AI9" cm="1">
        <f t="array" ref="AI9">[1]!propssi("S","Q",0,"T",AK9,$AI$1)/1000</f>
        <v>1.1080476988197805</v>
      </c>
      <c r="AJ9" cm="1">
        <f t="array" ref="AJ9">[1]!propssi("S","Q",1,"T",AK9,$AI$1)/1000</f>
        <v>1.8144985379290994</v>
      </c>
      <c r="AK9">
        <v>279</v>
      </c>
    </row>
    <row r="10" spans="1:37" x14ac:dyDescent="0.3">
      <c r="A10" s="4"/>
      <c r="B10" s="5" t="s">
        <v>26</v>
      </c>
      <c r="C10" s="5" t="s">
        <v>9</v>
      </c>
      <c r="D10" s="5" t="s">
        <v>10</v>
      </c>
      <c r="E10" s="5" t="s">
        <v>14</v>
      </c>
      <c r="F10" s="5" t="s">
        <v>15</v>
      </c>
      <c r="G10" s="6" t="s">
        <v>23</v>
      </c>
      <c r="H10" s="5" t="s">
        <v>36</v>
      </c>
      <c r="J10" t="s">
        <v>18</v>
      </c>
      <c r="K10">
        <f>E13-E14</f>
        <v>115.40545204397228</v>
      </c>
      <c r="L10" t="s">
        <v>19</v>
      </c>
      <c r="W10" cm="1">
        <f t="array" ref="W10">[1]!propssi("S","Q",0,"T",Y10,$W$1)/1000</f>
        <v>1.0292601542559727</v>
      </c>
      <c r="X10" cm="1">
        <f t="array" ref="X10">[1]!propssi("S","Q",1,"T",Y10,$W$1)/1000</f>
        <v>1.7445989305328053</v>
      </c>
      <c r="Y10">
        <v>280</v>
      </c>
      <c r="Z10" cm="1">
        <f t="array" ref="Z10">[1]!propssi("S","Q",0,"T",AB10,$Z$1)/1000</f>
        <v>1.0300855909854609</v>
      </c>
      <c r="AA10" cm="1">
        <f t="array" ref="AA10">[1]!propssi("S","Q",1,"T",AB10,$Z$1)/1000</f>
        <v>1.8040582859525034</v>
      </c>
      <c r="AB10">
        <v>280</v>
      </c>
      <c r="AC10" cm="1">
        <f t="array" ref="AC10">[1]!propssi("S","Q",0,"T",AE10,$AC$1)/1000</f>
        <v>1.0291231001987537</v>
      </c>
      <c r="AD10" cm="1">
        <f t="array" ref="AD10">[1]!propssi("S","Q",1,"T",AE10,$AC$1)/1000</f>
        <v>1.6595558900180876</v>
      </c>
      <c r="AE10">
        <v>280</v>
      </c>
      <c r="AF10" cm="1">
        <f t="array" ref="AF10">[1]!propssi("S","Q",0,"T",AH10,$AF$1)/1000</f>
        <v>1.0311292120575755</v>
      </c>
      <c r="AG10" cm="1">
        <f t="array" ref="AG10">[1]!propssi("S","Q",1,"T",AH10,$AF$1)/1000</f>
        <v>1.7947973494333396</v>
      </c>
      <c r="AH10">
        <v>280</v>
      </c>
      <c r="AI10" cm="1">
        <f t="array" ref="AI10">[1]!propssi("S","Q",0,"T",AK10,$AI$1)/1000</f>
        <v>1.1123278779524366</v>
      </c>
      <c r="AJ10" cm="1">
        <f t="array" ref="AJ10">[1]!propssi("S","Q",1,"T",AK10,$AI$1)/1000</f>
        <v>1.8144413935522954</v>
      </c>
      <c r="AK10">
        <v>280</v>
      </c>
    </row>
    <row r="11" spans="1:37" x14ac:dyDescent="0.3">
      <c r="A11" s="4"/>
      <c r="B11" s="5">
        <v>1</v>
      </c>
      <c r="C11" cm="1">
        <f t="array" ref="C11">[1]!propssi("P","T",B2+273.15,"Q",1,B6)/1000</f>
        <v>678.11753677444551</v>
      </c>
      <c r="D11">
        <f>B2+B4</f>
        <v>85</v>
      </c>
      <c r="E11" cm="1">
        <f t="array" ref="E11">[1]!propssi("H","P",C11*1000,"T",D11+273.15,B6)/1000</f>
        <v>462.01077291652041</v>
      </c>
      <c r="F11" cm="1">
        <f t="array" ref="F11">[1]!propssi("S","P",C11*1000,"T",D11+273.15,B6)/1000</f>
        <v>1.8545688726473946</v>
      </c>
      <c r="G11" cm="1">
        <f t="array" ref="G11">[1]!propssi("D","P",C11*1000,"H",E11*1000,$B$6)</f>
        <v>36.016831449028956</v>
      </c>
      <c r="H11" cm="1">
        <f t="array" ref="H11">[1]!propssi("Q","P",C11*1000,"H",E11*1000,$B$6)</f>
        <v>1.0315668995144245</v>
      </c>
      <c r="J11" t="s">
        <v>27</v>
      </c>
      <c r="K11">
        <f>E3/K10</f>
        <v>4.3325509423028636</v>
      </c>
      <c r="L11" t="s">
        <v>20</v>
      </c>
      <c r="W11" cm="1">
        <f t="array" ref="W11">[1]!propssi("S","Q",0,"T",Y11,$W$1)/1000</f>
        <v>1.0334920641278504</v>
      </c>
      <c r="X11" cm="1">
        <f t="array" ref="X11">[1]!propssi("S","Q",1,"T",Y11,$W$1)/1000</f>
        <v>1.7445466242425101</v>
      </c>
      <c r="Y11">
        <v>281</v>
      </c>
      <c r="Z11" cm="1">
        <f t="array" ref="Z11">[1]!propssi("S","Q",0,"T",AB11,$Z$1)/1000</f>
        <v>1.0344511355099792</v>
      </c>
      <c r="AA11" cm="1">
        <f t="array" ref="AA11">[1]!propssi("S","Q",1,"T",AB11,$Z$1)/1000</f>
        <v>1.8037121314090641</v>
      </c>
      <c r="AB11">
        <v>281</v>
      </c>
      <c r="AC11" cm="1">
        <f t="array" ref="AC11">[1]!propssi("S","Q",0,"T",AE11,$AC$1)/1000</f>
        <v>1.0333435575336629</v>
      </c>
      <c r="AD11" cm="1">
        <f t="array" ref="AD11">[1]!propssi("S","Q",1,"T",AE11,$AC$1)/1000</f>
        <v>1.659992426854483</v>
      </c>
      <c r="AE11">
        <v>281</v>
      </c>
      <c r="AF11" cm="1">
        <f t="array" ref="AF11">[1]!propssi("S","Q",0,"T",AH11,$AF$1)/1000</f>
        <v>1.0356404915799566</v>
      </c>
      <c r="AG11" cm="1">
        <f t="array" ref="AG11">[1]!propssi("S","Q",1,"T",AH11,$AF$1)/1000</f>
        <v>1.7944051248310544</v>
      </c>
      <c r="AH11">
        <v>281</v>
      </c>
      <c r="AI11" cm="1">
        <f t="array" ref="AI11">[1]!propssi("S","Q",0,"T",AK11,$AI$1)/1000</f>
        <v>1.1166001829218493</v>
      </c>
      <c r="AJ11" cm="1">
        <f t="array" ref="AJ11">[1]!propssi("S","Q",1,"T",AK11,$AI$1)/1000</f>
        <v>1.8144012310428339</v>
      </c>
      <c r="AK11">
        <v>281</v>
      </c>
    </row>
    <row r="12" spans="1:37" x14ac:dyDescent="0.3">
      <c r="A12" s="4"/>
      <c r="B12" s="5" t="s">
        <v>16</v>
      </c>
      <c r="C12">
        <f>C13</f>
        <v>2114.7415710004025</v>
      </c>
      <c r="D12" cm="1">
        <f t="array" ref="D12">[1]!propssi("T","P",C12*1000,"S",F12*1000,B6)-273.15</f>
        <v>132.40284378159515</v>
      </c>
      <c r="E12" cm="1">
        <f t="array" ref="E12">[1]!propssi("H","P",C12*1000,"S",F12*1000,B6)/1000</f>
        <v>481.92557203846309</v>
      </c>
      <c r="F12">
        <f>F11</f>
        <v>1.8545688726473946</v>
      </c>
      <c r="G12" cm="1">
        <f t="array" ref="G12">[1]!propssi("D","P",C12*1000,"H",E12*1000,$B$6)</f>
        <v>138.21308264601487</v>
      </c>
      <c r="H12" cm="1">
        <f t="array" ref="H12">[1]!propssi("Q","P",C12*1000,"H",E12*1000,$B$6)</f>
        <v>0.99501787519271212</v>
      </c>
      <c r="J12" t="s">
        <v>21</v>
      </c>
      <c r="K12">
        <f>K10-K9</f>
        <v>26.55306549592359</v>
      </c>
      <c r="L12" t="s">
        <v>19</v>
      </c>
      <c r="W12" cm="1">
        <f t="array" ref="W12">[1]!propssi("S","Q",0,"T",Y12,$W$1)/1000</f>
        <v>1.0377141350597896</v>
      </c>
      <c r="X12" cm="1">
        <f t="array" ref="X12">[1]!propssi("S","Q",1,"T",Y12,$W$1)/1000</f>
        <v>1.7445092574087853</v>
      </c>
      <c r="Y12">
        <v>282</v>
      </c>
      <c r="Z12" cm="1">
        <f t="array" ref="Z12">[1]!propssi("S","Q",0,"T",AB12,$Z$1)/1000</f>
        <v>1.0388102066177529</v>
      </c>
      <c r="AA12" cm="1">
        <f t="array" ref="AA12">[1]!propssi("S","Q",1,"T",AB12,$Z$1)/1000</f>
        <v>1.8033820247690462</v>
      </c>
      <c r="AB12">
        <v>282</v>
      </c>
      <c r="AC12" cm="1">
        <f t="array" ref="AC12">[1]!propssi("S","Q",0,"T",AE12,$AC$1)/1000</f>
        <v>1.0375562391465998</v>
      </c>
      <c r="AD12" cm="1">
        <f t="array" ref="AD12">[1]!propssi("S","Q",1,"T",AE12,$AC$1)/1000</f>
        <v>1.660444278473433</v>
      </c>
      <c r="AE12">
        <v>282</v>
      </c>
      <c r="AF12" cm="1">
        <f t="array" ref="AF12">[1]!propssi("S","Q",0,"T",AH12,$AF$1)/1000</f>
        <v>1.0401436655287457</v>
      </c>
      <c r="AG12" cm="1">
        <f t="array" ref="AG12">[1]!propssi("S","Q",1,"T",AH12,$AF$1)/1000</f>
        <v>1.7940283549511726</v>
      </c>
      <c r="AH12">
        <v>282</v>
      </c>
      <c r="AI12" cm="1">
        <f t="array" ref="AI12">[1]!propssi("S","Q",0,"T",AK12,$AI$1)/1000</f>
        <v>1.1208646911836599</v>
      </c>
      <c r="AJ12" cm="1">
        <f t="array" ref="AJ12">[1]!propssi("S","Q",1,"T",AK12,$AI$1)/1000</f>
        <v>1.8143777196844126</v>
      </c>
      <c r="AK12">
        <v>282</v>
      </c>
    </row>
    <row r="13" spans="1:37" x14ac:dyDescent="0.3">
      <c r="A13" s="4"/>
      <c r="B13" s="5">
        <v>2</v>
      </c>
      <c r="C13">
        <f>C14</f>
        <v>2114.7415710004025</v>
      </c>
      <c r="D13" cm="1">
        <f t="array" ref="D13">[1]!propssi("T","P",C13*1000,"H",E13*1000,B6)-273.15</f>
        <v>136.20956317280275</v>
      </c>
      <c r="E13">
        <f>(E12-E11)/E2+E11</f>
        <v>488.563838412444</v>
      </c>
      <c r="F13" cm="1">
        <f t="array" ref="F13">[1]!propssi("S","P",C13*1000,"H",E13*1000,B6)/1000</f>
        <v>1.8708644239120107</v>
      </c>
      <c r="G13" cm="1">
        <f t="array" ref="G13">[1]!propssi("D","P",C13*1000,"H",E13*1000,$B$6)</f>
        <v>130.81186311469381</v>
      </c>
      <c r="H13" cm="1">
        <f t="array" ref="H13">[1]!propssi("Q","P",C13*1000,"H",E13*1000,$B$6)</f>
        <v>1.0335744305472565</v>
      </c>
      <c r="J13" t="s">
        <v>22</v>
      </c>
      <c r="K13">
        <f>K11*K12</f>
        <v>115.0425089353934</v>
      </c>
      <c r="L13" t="s">
        <v>13</v>
      </c>
      <c r="W13" cm="1">
        <f t="array" ref="W13">[1]!propssi("S","Q",0,"T",Y13,$W$1)/1000</f>
        <v>1.0419264547912337</v>
      </c>
      <c r="X13" cm="1">
        <f t="array" ref="X13">[1]!propssi("S","Q",1,"T",Y13,$W$1)/1000</f>
        <v>1.7444865295061738</v>
      </c>
      <c r="Y13">
        <v>283</v>
      </c>
      <c r="Z13" cm="1">
        <f t="array" ref="Z13">[1]!propssi("S","Q",0,"T",AB13,$Z$1)/1000</f>
        <v>1.0431628970684736</v>
      </c>
      <c r="AA13" cm="1">
        <f t="array" ref="AA13">[1]!propssi("S","Q",1,"T",AB13,$Z$1)/1000</f>
        <v>1.8030676738325524</v>
      </c>
      <c r="AB13">
        <v>283</v>
      </c>
      <c r="AC13" cm="1">
        <f t="array" ref="AC13">[1]!propssi("S","Q",0,"T",AE13,$AC$1)/1000</f>
        <v>1.0417611938480669</v>
      </c>
      <c r="AD13" cm="1">
        <f t="array" ref="AD13">[1]!propssi("S","Q",1,"T",AE13,$AC$1)/1000</f>
        <v>1.660911148631544</v>
      </c>
      <c r="AE13">
        <v>283</v>
      </c>
      <c r="AF13" cm="1">
        <f t="array" ref="AF13">[1]!propssi("S","Q",0,"T",AH13,$AF$1)/1000</f>
        <v>1.0446388461762719</v>
      </c>
      <c r="AG13" cm="1">
        <f t="array" ref="AG13">[1]!propssi("S","Q",1,"T",AH13,$AF$1)/1000</f>
        <v>1.7936667179131669</v>
      </c>
      <c r="AH13">
        <v>283</v>
      </c>
      <c r="AI13" cm="1">
        <f t="array" ref="AI13">[1]!propssi("S","Q",0,"T",AK13,$AI$1)/1000</f>
        <v>1.1251214796862476</v>
      </c>
      <c r="AJ13" cm="1">
        <f t="array" ref="AJ13">[1]!propssi("S","Q",1,"T",AK13,$AI$1)/1000</f>
        <v>1.8143705336410909</v>
      </c>
      <c r="AK13">
        <v>283</v>
      </c>
    </row>
    <row r="14" spans="1:37" x14ac:dyDescent="0.3">
      <c r="A14" s="4"/>
      <c r="B14" s="5">
        <v>3</v>
      </c>
      <c r="C14" cm="1">
        <f t="array" ref="C14">[1]!propssi("P","T",B3+273.15,"Q",0,B6)/1000</f>
        <v>2114.7415710004025</v>
      </c>
      <c r="D14">
        <f>B3-B5</f>
        <v>125</v>
      </c>
      <c r="E14" cm="1">
        <f t="array" ref="E14">[1]!propssi("H","P",C14*1000,"T",D14+273.15,B6)/1000</f>
        <v>373.15838636847172</v>
      </c>
      <c r="F14" cm="1">
        <f t="array" ref="F14">[1]!propssi("S","P",C14*1000,"T",D14+273.15,B6)/1000</f>
        <v>1.5853787534065407</v>
      </c>
      <c r="G14" cm="1">
        <f t="array" ref="G14">[1]!propssi("D","P",C14*1000,"H",E14*1000,$B$6)</f>
        <v>923.33512005682269</v>
      </c>
      <c r="H14" cm="1">
        <f t="array" ref="H14">[1]!propssi("Q","P",C14*1000,"H",E14*1000,$B$6)</f>
        <v>-8.761508665755216E-2</v>
      </c>
      <c r="J14" t="s">
        <v>24</v>
      </c>
      <c r="K14">
        <f>K10/K12</f>
        <v>4.3462195376910149</v>
      </c>
      <c r="W14" cm="1">
        <f t="array" ref="W14">[1]!propssi("S","Q",0,"T",Y14,$W$1)/1000</f>
        <v>1.0461291106906001</v>
      </c>
      <c r="X14" cm="1">
        <f t="array" ref="X14">[1]!propssi("S","Q",1,"T",Y14,$W$1)/1000</f>
        <v>1.7444781449225826</v>
      </c>
      <c r="Y14">
        <v>284</v>
      </c>
      <c r="Z14" cm="1">
        <f t="array" ref="Z14">[1]!propssi("S","Q",0,"T",AB14,$Z$1)/1000</f>
        <v>1.0475092986376662</v>
      </c>
      <c r="AA14" cm="1">
        <f t="array" ref="AA14">[1]!propssi("S","Q",1,"T",AB14,$Z$1)/1000</f>
        <v>1.8027687897385882</v>
      </c>
      <c r="AB14">
        <v>284</v>
      </c>
      <c r="AC14" cm="1">
        <f t="array" ref="AC14">[1]!propssi("S","Q",0,"T",AE14,$AC$1)/1000</f>
        <v>1.0459584702875893</v>
      </c>
      <c r="AD14" cm="1">
        <f t="array" ref="AD14">[1]!propssi("S","Q",1,"T",AE14,$AC$1)/1000</f>
        <v>1.6613927456606186</v>
      </c>
      <c r="AE14">
        <v>284</v>
      </c>
      <c r="AF14" cm="1">
        <f t="array" ref="AF14">[1]!propssi("S","Q",0,"T",AH14,$AF$1)/1000</f>
        <v>1.0491261452877929</v>
      </c>
      <c r="AG14" cm="1">
        <f t="array" ref="AG14">[1]!propssi("S","Q",1,"T",AH14,$AF$1)/1000</f>
        <v>1.793319895230334</v>
      </c>
      <c r="AH14">
        <v>284</v>
      </c>
      <c r="AI14" cm="1">
        <f t="array" ref="AI14">[1]!propssi("S","Q",0,"T",AK14,$AI$1)/1000</f>
        <v>1.1293706248943627</v>
      </c>
      <c r="AJ14" cm="1">
        <f t="array" ref="AJ14">[1]!propssi("S","Q",1,"T",AK14,$AI$1)/1000</f>
        <v>1.8143793518914859</v>
      </c>
      <c r="AK14">
        <v>284</v>
      </c>
    </row>
    <row r="15" spans="1:37" x14ac:dyDescent="0.3">
      <c r="A15" s="4"/>
      <c r="B15" s="5">
        <v>4</v>
      </c>
      <c r="C15">
        <f>C11</f>
        <v>678.11753677444551</v>
      </c>
      <c r="D15" cm="1">
        <f t="array" ref="D15">[1]!propssi("T","P",C15*1000,"H",E15*1000,B6)-273.15</f>
        <v>77.87234647336993</v>
      </c>
      <c r="E15">
        <f>E14</f>
        <v>373.15838636847172</v>
      </c>
      <c r="F15" cm="1">
        <f t="array" ref="F15">[1]!propssi("S","P",C15*1000,"H",E15*1000,B6)/1000</f>
        <v>1.6023614992645183</v>
      </c>
      <c r="G15" cm="1">
        <f t="array" ref="G15">[1]!propssi("D","P",C15*1000,"H",E15*1000,$B$6)</f>
        <v>76.356611051495207</v>
      </c>
      <c r="H15" cm="1">
        <f t="array" ref="H15">[1]!propssi("Q","P",C15*1000,"H",E15*1000,$B$6)</f>
        <v>0.46880240368475989</v>
      </c>
      <c r="J15" t="s">
        <v>25</v>
      </c>
      <c r="K15">
        <f>K10*G11</f>
        <v>4156.5387145667437</v>
      </c>
      <c r="L15" t="s">
        <v>41</v>
      </c>
      <c r="W15" cm="1">
        <f t="array" ref="W15">[1]!propssi("S","Q",0,"T",Y15,$W$1)/1000</f>
        <v>1.0503221897736099</v>
      </c>
      <c r="X15" cm="1">
        <f t="array" ref="X15">[1]!propssi("S","Q",1,"T",Y15,$W$1)/1000</f>
        <v>1.7444838128534825</v>
      </c>
      <c r="Y15">
        <v>285</v>
      </c>
      <c r="Z15" cm="1">
        <f t="array" ref="Z15">[1]!propssi("S","Q",0,"T",AB15,$Z$1)/1000</f>
        <v>1.0518495021537271</v>
      </c>
      <c r="AA15" cm="1">
        <f t="array" ref="AA15">[1]!propssi("S","Q",1,"T",AB15,$Z$1)/1000</f>
        <v>1.8024850868759643</v>
      </c>
      <c r="AB15">
        <v>285</v>
      </c>
      <c r="AC15" cm="1">
        <f t="array" ref="AC15">[1]!propssi("S","Q",0,"T",AE15,$AC$1)/1000</f>
        <v>1.0501481169647493</v>
      </c>
      <c r="AD15" cm="1">
        <f t="array" ref="AD15">[1]!propssi("S","Q",1,"T",AE15,$AC$1)/1000</f>
        <v>1.6618887823608366</v>
      </c>
      <c r="AE15">
        <v>285</v>
      </c>
      <c r="AF15" cm="1">
        <f t="array" ref="AF15">[1]!propssi("S","Q",0,"T",AH15,$AF$1)/1000</f>
        <v>1.0536056741572704</v>
      </c>
      <c r="AG15" cm="1">
        <f t="array" ref="AG15">[1]!propssi("S","Q",1,"T",AH15,$AF$1)/1000</f>
        <v>1.7929875716896715</v>
      </c>
      <c r="AH15">
        <v>285</v>
      </c>
      <c r="AI15" cm="1">
        <f t="array" ref="AI15">[1]!propssi("S","Q",0,"T",AK15,$AI$1)/1000</f>
        <v>1.1336122028124462</v>
      </c>
      <c r="AJ15" cm="1">
        <f t="array" ref="AJ15">[1]!propssi("S","Q",1,"T",AK15,$AI$1)/1000</f>
        <v>1.814403858301783</v>
      </c>
      <c r="AK15">
        <v>285</v>
      </c>
    </row>
    <row r="16" spans="1:37" x14ac:dyDescent="0.3">
      <c r="W16" cm="1">
        <f t="array" ref="W16">[1]!propssi("S","Q",0,"T",Y16,$W$1)/1000</f>
        <v>1.0545057787213796</v>
      </c>
      <c r="X16" cm="1">
        <f t="array" ref="X16">[1]!propssi("S","Q",1,"T",Y16,$W$1)/1000</f>
        <v>1.7445032471966819</v>
      </c>
      <c r="Y16">
        <v>286</v>
      </c>
      <c r="Z16" cm="1">
        <f t="array" ref="Z16">[1]!propssi("S","Q",0,"T",AB16,$Z$1)/1000</f>
        <v>1.05618359753503</v>
      </c>
      <c r="AA16" cm="1">
        <f t="array" ref="AA16">[1]!propssi("S","Q",1,"T",AB16,$Z$1)/1000</f>
        <v>1.8022162827949164</v>
      </c>
      <c r="AB16">
        <v>286</v>
      </c>
      <c r="AC16" cm="1">
        <f t="array" ref="AC16">[1]!propssi("S","Q",0,"T",AE16,$AC$1)/1000</f>
        <v>1.0543301822402567</v>
      </c>
      <c r="AD16" cm="1">
        <f t="array" ref="AD16">[1]!propssi("S","Q",1,"T",AE16,$AC$1)/1000</f>
        <v>1.6623989758948858</v>
      </c>
      <c r="AE16">
        <v>286</v>
      </c>
      <c r="AF16" cm="1">
        <f t="array" ref="AF16">[1]!propssi("S","Q",0,"T",AH16,$AF$1)/1000</f>
        <v>1.058077543643408</v>
      </c>
      <c r="AG16" cm="1">
        <f t="array" ref="AG16">[1]!propssi("S","Q",1,"T",AH16,$AF$1)/1000</f>
        <v>1.7926694352327108</v>
      </c>
      <c r="AH16">
        <v>286</v>
      </c>
      <c r="AI16" cm="1">
        <f t="array" ref="AI16">[1]!propssi("S","Q",0,"T",AK16,$AI$1)/1000</f>
        <v>1.1378462890082228</v>
      </c>
      <c r="AJ16" cm="1">
        <f t="array" ref="AJ16">[1]!propssi("S","Q",1,"T",AK16,$AI$1)/1000</f>
        <v>1.814443741115382</v>
      </c>
      <c r="AK16">
        <v>286</v>
      </c>
    </row>
    <row r="17" spans="21:37" x14ac:dyDescent="0.3">
      <c r="W17" cm="1">
        <f t="array" ref="W17">[1]!propssi("S","Q",0,"T",Y17,$W$1)/1000</f>
        <v>1.0586799638983757</v>
      </c>
      <c r="X17" cm="1">
        <f t="array" ref="X17">[1]!propssi("S","Q",1,"T",Y17,$W$1)/1000</f>
        <v>1.744536166447715</v>
      </c>
      <c r="Y17">
        <v>287</v>
      </c>
      <c r="Z17" cm="1">
        <f t="array" ref="Z17">[1]!propssi("S","Q",0,"T",AB17,$Z$1)/1000</f>
        <v>1.0605116738271241</v>
      </c>
      <c r="AA17" cm="1">
        <f t="array" ref="AA17">[1]!propssi("S","Q",1,"T",AB17,$Z$1)/1000</f>
        <v>1.8019620981193973</v>
      </c>
      <c r="AB17">
        <v>287</v>
      </c>
      <c r="AC17" cm="1">
        <f t="array" ref="AC17">[1]!propssi("S","Q",0,"T",AE17,$AC$1)/1000</f>
        <v>1.0585047143470869</v>
      </c>
      <c r="AD17" cm="1">
        <f t="array" ref="AD17">[1]!propssi("S","Q",1,"T",AE17,$AC$1)/1000</f>
        <v>1.6629230476830588</v>
      </c>
      <c r="AE17">
        <v>287</v>
      </c>
      <c r="AF17" cm="1">
        <f t="array" ref="AF17">[1]!propssi("S","Q",0,"T",AH17,$AF$1)/1000</f>
        <v>1.062541864205985</v>
      </c>
      <c r="AG17" cm="1">
        <f t="array" ref="AG17">[1]!propssi("S","Q",1,"T",AH17,$AF$1)/1000</f>
        <v>1.7923651768372297</v>
      </c>
      <c r="AH17">
        <v>287</v>
      </c>
      <c r="AI17" cm="1">
        <f t="array" ref="AI17">[1]!propssi("S","Q",0,"T",AK17,$AI$1)/1000</f>
        <v>1.1420729586357861</v>
      </c>
      <c r="AJ17" cm="1">
        <f t="array" ref="AJ17">[1]!propssi("S","Q",1,"T",AK17,$AI$1)/1000</f>
        <v>1.8144986932216733</v>
      </c>
      <c r="AK17">
        <v>287</v>
      </c>
    </row>
    <row r="18" spans="21:37" x14ac:dyDescent="0.3">
      <c r="W18" cm="1">
        <f t="array" ref="W18">[1]!propssi("S","Q",0,"T",Y18,$W$1)/1000</f>
        <v>1.0628448313701864</v>
      </c>
      <c r="X18" cm="1">
        <f t="array" ref="X18">[1]!propssi("S","Q",1,"T",Y18,$W$1)/1000</f>
        <v>1.7445822935958104</v>
      </c>
      <c r="Y18">
        <v>288</v>
      </c>
      <c r="Z18" cm="1">
        <f t="array" ref="Z18">[1]!propssi("S","Q",0,"T",AB18,$Z$1)/1000</f>
        <v>1.064833819240022</v>
      </c>
      <c r="AA18" cm="1">
        <f t="array" ref="AA18">[1]!propssi("S","Q",1,"T",AB18,$Z$1)/1000</f>
        <v>1.8017222564599484</v>
      </c>
      <c r="AB18">
        <v>288</v>
      </c>
      <c r="AC18" cm="1">
        <f t="array" ref="AC18">[1]!propssi("S","Q",0,"T",AE18,$AC$1)/1000</f>
        <v>1.0626717614016541</v>
      </c>
      <c r="AD18" cm="1">
        <f t="array" ref="AD18">[1]!propssi("S","Q",1,"T",AE18,$AC$1)/1000</f>
        <v>1.663460723299375</v>
      </c>
      <c r="AE18">
        <v>288</v>
      </c>
      <c r="AF18" cm="1">
        <f t="array" ref="AF18">[1]!propssi("S","Q",0,"T",AH18,$AF$1)/1000</f>
        <v>1.0669987459425283</v>
      </c>
      <c r="AG18" cm="1">
        <f t="array" ref="AG18">[1]!propssi("S","Q",1,"T",AH18,$AF$1)/1000</f>
        <v>1.7920744903997572</v>
      </c>
      <c r="AH18">
        <v>288</v>
      </c>
      <c r="AI18" cm="1">
        <f t="array" ref="AI18">[1]!propssi("S","Q",0,"T",AK18,$AI$1)/1000</f>
        <v>1.146292286459127</v>
      </c>
      <c r="AJ18" cm="1">
        <f t="array" ref="AJ18">[1]!propssi("S","Q",1,"T",AK18,$AI$1)/1000</f>
        <v>1.8145684118461327</v>
      </c>
      <c r="AK18">
        <v>288</v>
      </c>
    </row>
    <row r="19" spans="21:37" x14ac:dyDescent="0.3">
      <c r="W19" cm="1">
        <f t="array" ref="W19">[1]!propssi("S","Q",0,"T",Y19,$W$1)/1000</f>
        <v>1.0670004669212028</v>
      </c>
      <c r="X19" cm="1">
        <f t="array" ref="X19">[1]!propssi("S","Q",1,"T",Y19,$W$1)/1000</f>
        <v>1.7446413560204608</v>
      </c>
      <c r="Y19">
        <v>289</v>
      </c>
      <c r="Z19" cm="1">
        <f t="array" ref="Z19">[1]!propssi("S","Q",0,"T",AB19,$Z$1)/1000</f>
        <v>1.0691501211856773</v>
      </c>
      <c r="AA19" cm="1">
        <f t="array" ref="AA19">[1]!propssi("S","Q",1,"T",AB19,$Z$1)/1000</f>
        <v>1.801496484327137</v>
      </c>
      <c r="AB19">
        <v>289</v>
      </c>
      <c r="AC19" cm="1">
        <f t="array" ref="AC19">[1]!propssi("S","Q",0,"T",AE19,$AC$1)/1000</f>
        <v>1.0668313714150417</v>
      </c>
      <c r="AD19" cm="1">
        <f t="array" ref="AD19">[1]!propssi("S","Q",1,"T",AE19,$AC$1)/1000</f>
        <v>1.6640117323687842</v>
      </c>
      <c r="AE19">
        <v>289</v>
      </c>
      <c r="AF19" cm="1">
        <f t="array" ref="AF19">[1]!propssi("S","Q",0,"T",AH19,$AF$1)/1000</f>
        <v>1.0714482986253449</v>
      </c>
      <c r="AG19" cm="1">
        <f t="array" ref="AG19">[1]!propssi("S","Q",1,"T",AH19,$AF$1)/1000</f>
        <v>1.7917970726187533</v>
      </c>
      <c r="AH19">
        <v>289</v>
      </c>
      <c r="AI19" cm="1">
        <f t="array" ref="AI19">[1]!propssi("S","Q",0,"T",AK19,$AI$1)/1000</f>
        <v>1.1505043468753791</v>
      </c>
      <c r="AJ19" cm="1">
        <f t="array" ref="AJ19">[1]!propssi("S","Q",1,"T",AK19,$AI$1)/1000</f>
        <v>1.814652598456417</v>
      </c>
      <c r="AK19">
        <v>289</v>
      </c>
    </row>
    <row r="20" spans="21:37" x14ac:dyDescent="0.3">
      <c r="W20" cm="1">
        <f t="array" ref="W20">[1]!propssi("S","Q",0,"T",Y20,$W$1)/1000</f>
        <v>1.0711469560721758</v>
      </c>
      <c r="X20" cm="1">
        <f t="array" ref="X20">[1]!propssi("S","Q",1,"T",Y20,$W$1)/1000</f>
        <v>1.7447130853885426</v>
      </c>
      <c r="Y20">
        <v>290</v>
      </c>
      <c r="Z20" cm="1">
        <f t="array" ref="Z20">[1]!propssi("S","Q",0,"T",AB20,$Z$1)/1000</f>
        <v>1.0734606663155966</v>
      </c>
      <c r="AA20" cm="1">
        <f t="array" ref="AA20">[1]!propssi("S","Q",1,"T",AB20,$Z$1)/1000</f>
        <v>1.8012845110454323</v>
      </c>
      <c r="AB20">
        <v>290</v>
      </c>
      <c r="AC20" cm="1">
        <f t="array" ref="AC20">[1]!propssi("S","Q",0,"T",AE20,$AC$1)/1000</f>
        <v>1.0709835923042763</v>
      </c>
      <c r="AD20" cm="1">
        <f t="array" ref="AD20">[1]!propssi("S","Q",1,"T",AE20,$AC$1)/1000</f>
        <v>1.6645758084654205</v>
      </c>
      <c r="AE20">
        <v>290</v>
      </c>
      <c r="AF20" cm="1">
        <f t="array" ref="AF20">[1]!propssi("S","Q",0,"T",AH20,$AF$1)/1000</f>
        <v>1.0758906317389783</v>
      </c>
      <c r="AG20" cm="1">
        <f t="array" ref="AG20">[1]!propssi("S","Q",1,"T",AH20,$AF$1)/1000</f>
        <v>1.791532622878395</v>
      </c>
      <c r="AH20">
        <v>290</v>
      </c>
      <c r="AI20" cm="1">
        <f t="array" ref="AI20">[1]!propssi("S","Q",0,"T",AK20,$AI$1)/1000</f>
        <v>1.1547092139382606</v>
      </c>
      <c r="AJ20" cm="1">
        <f t="array" ref="AJ20">[1]!propssi("S","Q",1,"T",AK20,$AI$1)/1000</f>
        <v>1.8147509587199036</v>
      </c>
      <c r="AK20">
        <v>290</v>
      </c>
    </row>
    <row r="21" spans="21:37" x14ac:dyDescent="0.3">
      <c r="W21" cm="1">
        <f t="array" ref="W21">[1]!propssi("S","Q",0,"T",Y21,$W$1)/1000</f>
        <v>1.0752843840977115</v>
      </c>
      <c r="X21" cm="1">
        <f t="array" ref="X21">[1]!propssi("S","Q",1,"T",Y21,$W$1)/1000</f>
        <v>1.7447972175520319</v>
      </c>
      <c r="Y21">
        <v>291</v>
      </c>
      <c r="Z21" cm="1">
        <f t="array" ref="Z21">[1]!propssi("S","Q",0,"T",AB21,$Z$1)/1000</f>
        <v>1.0777655405586797</v>
      </c>
      <c r="AA21" cm="1">
        <f t="array" ref="AA21">[1]!propssi("S","Q",1,"T",AB21,$Z$1)/1000</f>
        <v>1.8010860686675036</v>
      </c>
      <c r="AB21">
        <v>291</v>
      </c>
      <c r="AC21" cm="1">
        <f t="array" ref="AC21">[1]!propssi("S","Q",0,"T",AE21,$AC$1)/1000</f>
        <v>1.0751284719036769</v>
      </c>
      <c r="AD21" cm="1">
        <f t="array" ref="AD21">[1]!propssi("S","Q",1,"T",AE21,$AC$1)/1000</f>
        <v>1.6651526890120658</v>
      </c>
      <c r="AE21">
        <v>291</v>
      </c>
      <c r="AF21" cm="1">
        <f t="array" ref="AF21">[1]!propssi("S","Q",0,"T",AH21,$AF$1)/1000</f>
        <v>1.0803258545181003</v>
      </c>
      <c r="AG21" cm="1">
        <f t="array" ref="AG21">[1]!propssi("S","Q",1,"T",AH21,$AF$1)/1000</f>
        <v>1.7912808431328398</v>
      </c>
      <c r="AH21">
        <v>291</v>
      </c>
      <c r="AI21" cm="1">
        <f t="array" ref="AI21">[1]!propssi("S","Q",0,"T",AK21,$AI$1)/1000</f>
        <v>1.1589069613813856</v>
      </c>
      <c r="AJ21" cm="1">
        <f t="array" ref="AJ21">[1]!propssi("S","Q",1,"T",AK21,$AI$1)/1000</f>
        <v>1.8148632022382269</v>
      </c>
      <c r="AK21">
        <v>291</v>
      </c>
    </row>
    <row r="22" spans="21:37" x14ac:dyDescent="0.3">
      <c r="W22" cm="1">
        <f t="array" ref="W22">[1]!propssi("S","Q",0,"T",Y22,$W$1)/1000</f>
        <v>1.0794128360437187</v>
      </c>
      <c r="X22" cm="1">
        <f t="array" ref="X22">[1]!propssi("S","Q",1,"T",Y22,$W$1)/1000</f>
        <v>1.7448934924462645</v>
      </c>
      <c r="Y22">
        <v>292</v>
      </c>
      <c r="Z22" cm="1">
        <f t="array" ref="Z22">[1]!propssi("S","Q",0,"T",AB22,$Z$1)/1000</f>
        <v>1.0820648291592987</v>
      </c>
      <c r="AA22" cm="1">
        <f t="array" ref="AA22">[1]!propssi("S","Q",1,"T",AB22,$Z$1)/1000</f>
        <v>1.8009008918888703</v>
      </c>
      <c r="AB22">
        <v>292</v>
      </c>
      <c r="AC22" cm="1">
        <f t="array" ref="AC22">[1]!propssi("S","Q",0,"T",AE22,$AC$1)/1000</f>
        <v>1.0792660579762345</v>
      </c>
      <c r="AD22" cm="1">
        <f t="array" ref="AD22">[1]!propssi("S","Q",1,"T",AE22,$AC$1)/1000</f>
        <v>1.6657421151807021</v>
      </c>
      <c r="AE22">
        <v>292</v>
      </c>
      <c r="AF22" cm="1">
        <f t="array" ref="AF22">[1]!propssi("S","Q",0,"T",AH22,$AF$1)/1000</f>
        <v>1.0847540759859242</v>
      </c>
      <c r="AG22" cm="1">
        <f t="array" ref="AG22">[1]!propssi("S","Q",1,"T",AH22,$AF$1)/1000</f>
        <v>1.791041437790905</v>
      </c>
      <c r="AH22">
        <v>292</v>
      </c>
      <c r="AI22" cm="1">
        <f t="array" ref="AI22">[1]!propssi("S","Q",0,"T",AK22,$AI$1)/1000</f>
        <v>1.1630976626418184</v>
      </c>
      <c r="AJ22" cm="1">
        <f t="array" ref="AJ22">[1]!propssi("S","Q",1,"T",AK22,$AI$1)/1000</f>
        <v>1.81498904261856</v>
      </c>
      <c r="AK22">
        <v>292</v>
      </c>
    </row>
    <row r="23" spans="21:37" x14ac:dyDescent="0.3">
      <c r="W23" cm="1">
        <f t="array" ref="W23">[1]!propssi("S","Q",0,"T",Y23,$W$1)/1000</f>
        <v>1.0835323967448098</v>
      </c>
      <c r="X23" cm="1">
        <f t="array" ref="X23">[1]!propssi("S","Q",1,"T",Y23,$W$1)/1000</f>
        <v>1.7450016539887465</v>
      </c>
      <c r="Y23">
        <v>293</v>
      </c>
      <c r="Z23" cm="1">
        <f t="array" ref="Z23">[1]!propssi("S","Q",0,"T",AB23,$Z$1)/1000</f>
        <v>1.0863586167156289</v>
      </c>
      <c r="AA23" cm="1">
        <f t="array" ref="AA23">[1]!propssi("S","Q",1,"T",AB23,$Z$1)/1000</f>
        <v>1.8007287179628013</v>
      </c>
      <c r="AB23">
        <v>293</v>
      </c>
      <c r="AC23" cm="1">
        <f t="array" ref="AC23">[1]!propssi("S","Q",0,"T",AE23,$AC$1)/1000</f>
        <v>1.0833963982250718</v>
      </c>
      <c r="AD23" cm="1">
        <f t="array" ref="AD23">[1]!propssi("S","Q",1,"T",AE23,$AC$1)/1000</f>
        <v>1.6663438317943045</v>
      </c>
      <c r="AE23">
        <v>293</v>
      </c>
      <c r="AF23" cm="1">
        <f t="array" ref="AF23">[1]!propssi("S","Q",0,"T",AH23,$AF$1)/1000</f>
        <v>1.0891754049931284</v>
      </c>
      <c r="AG23" cm="1">
        <f t="array" ref="AG23">[1]!propssi("S","Q",1,"T",AH23,$AF$1)/1000</f>
        <v>1.7908141136009905</v>
      </c>
      <c r="AH23">
        <v>293</v>
      </c>
      <c r="AI23" cm="1">
        <f t="array" ref="AI23">[1]!propssi("S","Q",0,"T",AK23,$AI$1)/1000</f>
        <v>1.1672813908835422</v>
      </c>
      <c r="AJ23" cm="1">
        <f t="array" ref="AJ23">[1]!propssi("S","Q",1,"T",AK23,$AI$1)/1000</f>
        <v>1.8151281972285502</v>
      </c>
      <c r="AK23">
        <v>293</v>
      </c>
    </row>
    <row r="24" spans="21:37" x14ac:dyDescent="0.3">
      <c r="W24" cm="1">
        <f t="array" ref="W24">[1]!propssi("S","Q",0,"T",Y24,$W$1)/1000</f>
        <v>1.0876431508417204</v>
      </c>
      <c r="X24" cm="1">
        <f t="array" ref="X24">[1]!propssi("S","Q",1,"T",Y24,$W$1)/1000</f>
        <v>1.745121449978533</v>
      </c>
      <c r="Y24">
        <v>294</v>
      </c>
      <c r="Z24" cm="1">
        <f t="array" ref="Z24">[1]!propssi("S","Q",0,"T",AB24,$Z$1)/1000</f>
        <v>1.0906469872183091</v>
      </c>
      <c r="AA24" cm="1">
        <f t="array" ref="AA24">[1]!propssi("S","Q",1,"T",AB24,$Z$1)/1000</f>
        <v>1.8005692866154885</v>
      </c>
      <c r="AB24">
        <v>294</v>
      </c>
      <c r="AC24" cm="1">
        <f t="array" ref="AC24">[1]!propssi("S","Q",0,"T",AE24,$AC$1)/1000</f>
        <v>1.0875195403049669</v>
      </c>
      <c r="AD24" cm="1">
        <f t="array" ref="AD24">[1]!propssi("S","Q",1,"T",AE24,$AC$1)/1000</f>
        <v>1.6669575872298739</v>
      </c>
      <c r="AE24">
        <v>294</v>
      </c>
      <c r="AF24" cm="1">
        <f t="array" ref="AF24">[1]!propssi("S","Q",0,"T",AH24,$AF$1)/1000</f>
        <v>1.0935899502573998</v>
      </c>
      <c r="AG24" cm="1">
        <f t="array" ref="AG24">[1]!propssi("S","Q",1,"T",AH24,$AF$1)/1000</f>
        <v>1.7905985795362245</v>
      </c>
      <c r="AH24">
        <v>294</v>
      </c>
      <c r="AI24" cm="1">
        <f t="array" ref="AI24">[1]!propssi("S","Q",0,"T",AK24,$AI$1)/1000</f>
        <v>1.1714582190212901</v>
      </c>
      <c r="AJ24" cm="1">
        <f t="array" ref="AJ24">[1]!propssi("S","Q",1,"T",AK24,$AI$1)/1000</f>
        <v>1.8152803871497041</v>
      </c>
      <c r="AK24">
        <v>294</v>
      </c>
    </row>
    <row r="25" spans="21:37" x14ac:dyDescent="0.3">
      <c r="U25" t="s">
        <v>48</v>
      </c>
      <c r="V25" t="s">
        <v>30</v>
      </c>
      <c r="W25" cm="1">
        <f t="array" ref="W25">[1]!propssi("S","Q",0,"T",Y25,$W$1)/1000</f>
        <v>1.0917451827987306</v>
      </c>
      <c r="X25" cm="1">
        <f t="array" ref="X25">[1]!propssi("S","Q",1,"T",Y25,$W$1)/1000</f>
        <v>1.7452526319961212</v>
      </c>
      <c r="Y25">
        <v>295</v>
      </c>
      <c r="Z25" cm="1">
        <f t="array" ref="Z25">[1]!propssi("S","Q",0,"T",AB25,$Z$1)/1000</f>
        <v>1.0949300240894224</v>
      </c>
      <c r="AA25" cm="1">
        <f t="array" ref="AA25">[1]!propssi("S","Q",1,"T",AB25,$Z$1)/1000</f>
        <v>1.8004223399613517</v>
      </c>
      <c r="AB25">
        <v>295</v>
      </c>
      <c r="AC25" cm="1">
        <f t="array" ref="AC25">[1]!propssi("S","Q",0,"T",AE25,$AC$1)/1000</f>
        <v>1.091635531833925</v>
      </c>
      <c r="AD25" cm="1">
        <f t="array" ref="AD25">[1]!propssi("S","Q",1,"T",AE25,$AC$1)/1000</f>
        <v>1.6675831333226629</v>
      </c>
      <c r="AE25">
        <v>295</v>
      </c>
      <c r="AF25" cm="1">
        <f t="array" ref="AF25">[1]!propssi("S","Q",0,"T",AH25,$AF$1)/1000</f>
        <v>1.0979978204035874</v>
      </c>
      <c r="AG25" cm="1">
        <f t="array" ref="AG25">[1]!propssi("S","Q",1,"T",AH25,$AF$1)/1000</f>
        <v>1.7903945466796132</v>
      </c>
      <c r="AH25">
        <v>295</v>
      </c>
      <c r="AI25" cm="1">
        <f t="array" ref="AI25">[1]!propssi("S","Q",0,"T",AK25,$AI$1)/1000</f>
        <v>1.1756282197441978</v>
      </c>
      <c r="AJ25" cm="1">
        <f t="array" ref="AJ25">[1]!propssi("S","Q",1,"T",AK25,$AI$1)/1000</f>
        <v>1.8154453370397443</v>
      </c>
      <c r="AK25">
        <v>295</v>
      </c>
    </row>
    <row r="26" spans="21:37" x14ac:dyDescent="0.3">
      <c r="U26">
        <v>0</v>
      </c>
      <c r="V26">
        <f>130+273.15</f>
        <v>403.15</v>
      </c>
      <c r="W26" cm="1">
        <f t="array" ref="W26">[1]!propssi("S","Q",0,"T",Y26,$W$1)/1000</f>
        <v>1.0958385769211378</v>
      </c>
      <c r="X26" cm="1">
        <f t="array" ref="X26">[1]!propssi("S","Q",1,"T",Y26,$W$1)/1000</f>
        <v>1.7453949553038903</v>
      </c>
      <c r="Y26">
        <v>296</v>
      </c>
      <c r="Z26" cm="1">
        <f t="array" ref="Z26">[1]!propssi("S","Q",0,"T",AB26,$Z$1)/1000</f>
        <v>1.0992078102218528</v>
      </c>
      <c r="AA26" cm="1">
        <f t="array" ref="AA26">[1]!propssi("S","Q",1,"T",AB26,$Z$1)/1000</f>
        <v>1.8002876224184599</v>
      </c>
      <c r="AB26">
        <v>296</v>
      </c>
      <c r="AC26" cm="1">
        <f t="array" ref="AC26">[1]!propssi("S","Q",0,"T",AE26,$AC$1)/1000</f>
        <v>1.0957444204048543</v>
      </c>
      <c r="AD26" cm="1">
        <f t="array" ref="AD26">[1]!propssi("S","Q",1,"T",AE26,$AC$1)/1000</f>
        <v>1.6682202252717231</v>
      </c>
      <c r="AE26">
        <v>296</v>
      </c>
      <c r="AF26" cm="1">
        <f t="array" ref="AF26">[1]!propssi("S","Q",0,"T",AH26,$AF$1)/1000</f>
        <v>1.1023991240045696</v>
      </c>
      <c r="AG26" cm="1">
        <f t="array" ref="AG26">[1]!propssi("S","Q",1,"T",AH26,$AF$1)/1000</f>
        <v>1.7902017281091716</v>
      </c>
      <c r="AH26">
        <v>296</v>
      </c>
      <c r="AI26" cm="1">
        <f t="array" ref="AI26">[1]!propssi("S","Q",0,"T",AK26,$AI$1)/1000</f>
        <v>1.1797914655397652</v>
      </c>
      <c r="AJ26" cm="1">
        <f t="array" ref="AJ26">[1]!propssi("S","Q",1,"T",AK26,$AI$1)/1000</f>
        <v>1.8156227750524518</v>
      </c>
      <c r="AK26">
        <v>296</v>
      </c>
    </row>
    <row r="27" spans="21:37" x14ac:dyDescent="0.3">
      <c r="U27">
        <v>2</v>
      </c>
      <c r="V27">
        <f>130+273.15</f>
        <v>403.15</v>
      </c>
      <c r="W27" cm="1">
        <f t="array" ref="W27">[1]!propssi("S","Q",0,"T",Y27,$W$1)/1000</f>
        <v>1.0999234173727939</v>
      </c>
      <c r="X27" cm="1">
        <f t="array" ref="X27">[1]!propssi("S","Q",1,"T",Y27,$W$1)/1000</f>
        <v>1.745548178747051</v>
      </c>
      <c r="Y27">
        <v>297</v>
      </c>
      <c r="Z27" cm="1">
        <f t="array" ref="Z27">[1]!propssi("S","Q",0,"T",AB27,$Z$1)/1000</f>
        <v>1.1034804280190529</v>
      </c>
      <c r="AA27" cm="1">
        <f t="array" ref="AA27">[1]!propssi("S","Q",1,"T",AB27,$Z$1)/1000</f>
        <v>1.8001648806240054</v>
      </c>
      <c r="AB27">
        <v>297</v>
      </c>
      <c r="AC27" cm="1">
        <f t="array" ref="AC27">[1]!propssi("S","Q",0,"T",AE27,$AC$1)/1000</f>
        <v>1.0998462535972939</v>
      </c>
      <c r="AD27" cm="1">
        <f t="array" ref="AD27">[1]!propssi("S","Q",1,"T",AE27,$AC$1)/1000</f>
        <v>1.6688686215466904</v>
      </c>
      <c r="AE27">
        <v>297</v>
      </c>
      <c r="AF27" cm="1">
        <f t="array" ref="AF27">[1]!propssi("S","Q",0,"T",AH27,$AF$1)/1000</f>
        <v>1.1067939696228546</v>
      </c>
      <c r="AG27" cm="1">
        <f t="array" ref="AG27">[1]!propssi("S","Q",1,"T",AH27,$AF$1)/1000</f>
        <v>1.7900198387828525</v>
      </c>
      <c r="AH27">
        <v>297</v>
      </c>
      <c r="AI27" cm="1">
        <f t="array" ref="AI27">[1]!propssi("S","Q",0,"T",AK27,$AI$1)/1000</f>
        <v>1.1839480287181245</v>
      </c>
      <c r="AJ27" cm="1">
        <f t="array" ref="AJ27">[1]!propssi("S","Q",1,"T",AK27,$AI$1)/1000</f>
        <v>1.8158124327290524</v>
      </c>
      <c r="AK27">
        <v>297</v>
      </c>
    </row>
    <row r="28" spans="21:37" x14ac:dyDescent="0.3">
      <c r="W28" cm="1">
        <f t="array" ref="W28">[1]!propssi("S","Q",0,"T",Y28,$W$1)/1000</f>
        <v>1.1039997881937191</v>
      </c>
      <c r="X28" cm="1">
        <f t="array" ref="X28">[1]!propssi("S","Q",1,"T",Y28,$W$1)/1000</f>
        <v>1.7457120646551012</v>
      </c>
      <c r="Y28">
        <v>298</v>
      </c>
      <c r="Z28" cm="1">
        <f t="array" ref="Z28">[1]!propssi("S","Q",0,"T",AB28,$Z$1)/1000</f>
        <v>1.1077479594352693</v>
      </c>
      <c r="AA28" cm="1">
        <f t="array" ref="AA28">[1]!propssi("S","Q",1,"T",AB28,$Z$1)/1000</f>
        <v>1.8000538633497936</v>
      </c>
      <c r="AB28">
        <v>298</v>
      </c>
      <c r="AC28" cm="1">
        <f t="array" ref="AC28">[1]!propssi("S","Q",0,"T",AE28,$AC$1)/1000</f>
        <v>1.103941078989245</v>
      </c>
      <c r="AD28" cm="1">
        <f t="array" ref="AD28">[1]!propssi("S","Q",1,"T",AE28,$AC$1)/1000</f>
        <v>1.6695280837959077</v>
      </c>
      <c r="AE28">
        <v>298</v>
      </c>
      <c r="AF28" cm="1">
        <f t="array" ref="AF28">[1]!propssi("S","Q",0,"T",AH28,$AF$1)/1000</f>
        <v>1.1111824658529836</v>
      </c>
      <c r="AG28" cm="1">
        <f t="array" ref="AG28">[1]!propssi("S","Q",1,"T",AH28,$AF$1)/1000</f>
        <v>1.7898485954231527</v>
      </c>
      <c r="AH28">
        <v>298</v>
      </c>
      <c r="AI28" cm="1">
        <f t="array" ref="AI28">[1]!propssi("S","Q",0,"T",AK28,$AI$1)/1000</f>
        <v>1.188097981436222</v>
      </c>
      <c r="AJ28" cm="1">
        <f t="array" ref="AJ28">[1]!propssi("S","Q",1,"T",AK28,$AI$1)/1000</f>
        <v>1.8160140448649977</v>
      </c>
      <c r="AK28">
        <v>298</v>
      </c>
    </row>
    <row r="29" spans="21:37" x14ac:dyDescent="0.3">
      <c r="W29" cm="1">
        <f t="array" ref="W29">[1]!propssi("S","Q",0,"T",Y29,$W$1)/1000</f>
        <v>1.1080677733178383</v>
      </c>
      <c r="X29" cm="1">
        <f t="array" ref="X29">[1]!propssi("S","Q",1,"T",Y29,$W$1)/1000</f>
        <v>1.7458863787437831</v>
      </c>
      <c r="Y29">
        <v>299</v>
      </c>
      <c r="Z29" cm="1">
        <f t="array" ref="Z29">[1]!propssi("S","Q",0,"T",AB29,$Z$1)/1000</f>
        <v>1.1120104860162356</v>
      </c>
      <c r="AA29" cm="1">
        <f t="array" ref="AA29">[1]!propssi("S","Q",1,"T",AB29,$Z$1)/1000</f>
        <v>1.7999543214176583</v>
      </c>
      <c r="AB29">
        <v>299</v>
      </c>
      <c r="AC29" cm="1">
        <f t="array" ref="AC29">[1]!propssi("S","Q",0,"T",AE29,$AC$1)/1000</f>
        <v>1.1080289441690816</v>
      </c>
      <c r="AD29" cm="1">
        <f t="array" ref="AD29">[1]!propssi("S","Q",1,"T",AE29,$AC$1)/1000</f>
        <v>1.6701983767558222</v>
      </c>
      <c r="AE29">
        <v>299</v>
      </c>
      <c r="AF29" cm="1">
        <f t="array" ref="AF29">[1]!propssi("S","Q",0,"T",AH29,$AF$1)/1000</f>
        <v>1.1155647213648086</v>
      </c>
      <c r="AG29" cm="1">
        <f t="array" ref="AG29">[1]!propssi("S","Q",1,"T",AH29,$AF$1)/1000</f>
        <v>1.7896877164012979</v>
      </c>
      <c r="AH29">
        <v>299</v>
      </c>
      <c r="AI29" cm="1">
        <f t="array" ref="AI29">[1]!propssi("S","Q",0,"T",AK29,$AI$1)/1000</f>
        <v>1.1922413957224585</v>
      </c>
      <c r="AJ29" cm="1">
        <f t="array" ref="AJ29">[1]!propssi("S","Q",1,"T",AK29,$AI$1)/1000</f>
        <v>1.8162273494402053</v>
      </c>
      <c r="AK29">
        <v>299</v>
      </c>
    </row>
    <row r="30" spans="21:37" x14ac:dyDescent="0.3">
      <c r="W30" cm="1">
        <f t="array" ref="W30">[1]!propssi("S","Q",0,"T",Y30,$W$1)/1000</f>
        <v>1.112127456590849</v>
      </c>
      <c r="X30" cm="1">
        <f t="array" ref="X30">[1]!propssi("S","Q",1,"T",Y30,$W$1)/1000</f>
        <v>1.7460708900175383</v>
      </c>
      <c r="Y30">
        <v>300</v>
      </c>
      <c r="Z30" cm="1">
        <f t="array" ref="Z30">[1]!propssi("S","Q",0,"T",AB30,$Z$1)/1000</f>
        <v>1.1162680889404064</v>
      </c>
      <c r="AA30" cm="1">
        <f t="array" ref="AA30">[1]!propssi("S","Q",1,"T",AB30,$Z$1)/1000</f>
        <v>1.7998660076147777</v>
      </c>
      <c r="AB30">
        <v>300</v>
      </c>
      <c r="AC30" cm="1">
        <f t="array" ref="AC30">[1]!propssi("S","Q",0,"T",AE30,$AC$1)/1000</f>
        <v>1.1121098967475684</v>
      </c>
      <c r="AD30" cm="1">
        <f t="array" ref="AD30">[1]!propssi("S","Q",1,"T",AE30,$AC$1)/1000</f>
        <v>1.6708792681617137</v>
      </c>
      <c r="AE30">
        <v>300</v>
      </c>
      <c r="AF30" cm="1">
        <f t="array" ref="AF30">[1]!propssi("S","Q",0,"T",AH30,$AF$1)/1000</f>
        <v>1.1199408449476846</v>
      </c>
      <c r="AG30" cm="1">
        <f t="array" ref="AG30">[1]!propssi("S","Q",1,"T",AH30,$AF$1)/1000</f>
        <v>1.789536921620825</v>
      </c>
      <c r="AH30">
        <v>300</v>
      </c>
      <c r="AI30" cm="1">
        <f t="array" ref="AI30">[1]!propssi("S","Q",0,"T",AK30,$AI$1)/1000</f>
        <v>1.1963783435014792</v>
      </c>
      <c r="AJ30" cm="1">
        <f t="array" ref="AJ30">[1]!propssi("S","Q",1,"T",AK30,$AI$1)/1000</f>
        <v>1.8164520875059313</v>
      </c>
      <c r="AK30">
        <v>300</v>
      </c>
    </row>
    <row r="31" spans="21:37" x14ac:dyDescent="0.3">
      <c r="W31" cm="1">
        <f t="array" ref="W31">[1]!propssi("S","Q",0,"T",Y31,$W$1)/1000</f>
        <v>1.1161789217882361</v>
      </c>
      <c r="X31" cm="1">
        <f t="array" ref="X31">[1]!propssi("S","Q",1,"T",Y31,$W$1)/1000</f>
        <v>1.7462653706723925</v>
      </c>
      <c r="Y31">
        <v>301</v>
      </c>
      <c r="Z31" cm="1">
        <f t="array" ref="Z31">[1]!propssi("S","Q",0,"T",AB31,$Z$1)/1000</f>
        <v>1.1205208490607623</v>
      </c>
      <c r="AA31" cm="1">
        <f t="array" ref="AA31">[1]!propssi("S","Q",1,"T",AB31,$Z$1)/1000</f>
        <v>1.7997886766088369</v>
      </c>
      <c r="AB31">
        <v>301</v>
      </c>
      <c r="AC31" cm="1">
        <f t="array" ref="AC31">[1]!propssi("S","Q",0,"T",AE31,$AC$1)/1000</f>
        <v>1.1161839843699781</v>
      </c>
      <c r="AD31" cm="1">
        <f t="array" ref="AD31">[1]!propssi("S","Q",1,"T",AE31,$AC$1)/1000</f>
        <v>1.6715705286597313</v>
      </c>
      <c r="AE31">
        <v>301</v>
      </c>
      <c r="AF31" cm="1">
        <f t="array" ref="AF31">[1]!propssi("S","Q",0,"T",AH31,$AF$1)/1000</f>
        <v>1.1243109455556595</v>
      </c>
      <c r="AG31" cm="1">
        <f t="array" ref="AG31">[1]!propssi("S","Q",1,"T",AH31,$AF$1)/1000</f>
        <v>1.7893959324004303</v>
      </c>
      <c r="AH31">
        <v>301</v>
      </c>
      <c r="AI31" cm="1">
        <f t="array" ref="AI31">[1]!propssi("S","Q",0,"T",AK31,$AI$1)/1000</f>
        <v>1.2005088966192738</v>
      </c>
      <c r="AJ31" cm="1">
        <f t="array" ref="AJ31">[1]!propssi("S","Q",1,"T",AK31,$AI$1)/1000</f>
        <v>1.8166880030748578</v>
      </c>
      <c r="AK31">
        <v>301</v>
      </c>
    </row>
    <row r="32" spans="21:37" x14ac:dyDescent="0.3">
      <c r="W32" cm="1">
        <f t="array" ref="W32">[1]!propssi("S","Q",0,"T",Y32,$W$1)/1000</f>
        <v>1.1202222526334802</v>
      </c>
      <c r="X32" cm="1">
        <f t="array" ref="X32">[1]!propssi("S","Q",1,"T",Y32,$W$1)/1000</f>
        <v>1.7464695959993441</v>
      </c>
      <c r="Y32">
        <v>302</v>
      </c>
      <c r="Z32" cm="1">
        <f t="array" ref="Z32">[1]!propssi("S","Q",0,"T",AB32,$Z$1)/1000</f>
        <v>1.1247688469472064</v>
      </c>
      <c r="AA32" cm="1">
        <f t="array" ref="AA32">[1]!propssi("S","Q",1,"T",AB32,$Z$1)/1000</f>
        <v>1.7997220848629747</v>
      </c>
      <c r="AB32">
        <v>302</v>
      </c>
      <c r="AC32" cm="1">
        <f t="array" ref="AC32">[1]!propssi("S","Q",0,"T",AE32,$AC$1)/1000</f>
        <v>1.1202512547283197</v>
      </c>
      <c r="AD32" cm="1">
        <f t="array" ref="AD32">[1]!propssi("S","Q",1,"T",AE32,$AC$1)/1000</f>
        <v>1.6722719317202344</v>
      </c>
      <c r="AE32">
        <v>302</v>
      </c>
      <c r="AF32" cm="1">
        <f t="array" ref="AF32">[1]!propssi("S","Q",0,"T",AH32,$AF$1)/1000</f>
        <v>1.1286751323537336</v>
      </c>
      <c r="AG32" cm="1">
        <f t="array" ref="AG32">[1]!propssi("S","Q",1,"T",AH32,$AF$1)/1000</f>
        <v>1.7892644713559513</v>
      </c>
      <c r="AH32">
        <v>302</v>
      </c>
      <c r="AI32" cm="1">
        <f t="array" ref="AI32">[1]!propssi("S","Q",0,"T",AK32,$AI$1)/1000</f>
        <v>1.2046331268685928</v>
      </c>
      <c r="AJ32" cm="1">
        <f t="array" ref="AJ32">[1]!propssi("S","Q",1,"T",AK32,$AI$1)/1000</f>
        <v>1.8169348430365482</v>
      </c>
      <c r="AK32">
        <v>302</v>
      </c>
    </row>
    <row r="33" spans="23:37" x14ac:dyDescent="0.3">
      <c r="W33" cm="1">
        <f t="array" ref="W33">[1]!propssi("S","Q",0,"T",Y33,$W$1)/1000</f>
        <v>1.1242575328164468</v>
      </c>
      <c r="X33" cm="1">
        <f t="array" ref="X33">[1]!propssi("S","Q",1,"T",Y33,$W$1)/1000</f>
        <v>1.7466833442881553</v>
      </c>
      <c r="Y33">
        <v>303</v>
      </c>
      <c r="Z33" cm="1">
        <f t="array" ref="Z33">[1]!propssi("S","Q",0,"T",AB33,$Z$1)/1000</f>
        <v>1.1290121629296466</v>
      </c>
      <c r="AA33" cm="1">
        <f t="array" ref="AA33">[1]!propssi("S","Q",1,"T",AB33,$Z$1)/1000</f>
        <v>1.7996659905504677</v>
      </c>
      <c r="AB33">
        <v>303</v>
      </c>
      <c r="AC33" cm="1">
        <f t="array" ref="AC33">[1]!propssi("S","Q",0,"T",AE33,$AC$1)/1000</f>
        <v>1.1243117555737123</v>
      </c>
      <c r="AD33" cm="1">
        <f t="array" ref="AD33">[1]!propssi("S","Q",1,"T",AE33,$AC$1)/1000</f>
        <v>1.6729832535524674</v>
      </c>
      <c r="AE33">
        <v>303</v>
      </c>
      <c r="AF33" cm="1">
        <f t="array" ref="AF33">[1]!propssi("S","Q",0,"T",AH33,$AF$1)/1000</f>
        <v>1.1330335147652635</v>
      </c>
      <c r="AG33" cm="1">
        <f t="array" ref="AG33">[1]!propssi("S","Q",1,"T",AH33,$AF$1)/1000</f>
        <v>1.7891422622813087</v>
      </c>
      <c r="AH33">
        <v>303</v>
      </c>
      <c r="AI33" cm="1">
        <f t="array" ref="AI33">[1]!propssi("S","Q",0,"T",AK33,$AI$1)/1000</f>
        <v>1.2087511060146043</v>
      </c>
      <c r="AJ33" cm="1">
        <f t="array" ref="AJ33">[1]!propssi("S","Q",1,"T",AK33,$AI$1)/1000</f>
        <v>1.8171923570471338</v>
      </c>
      <c r="AK33">
        <v>303</v>
      </c>
    </row>
    <row r="34" spans="23:37" x14ac:dyDescent="0.3">
      <c r="W34" cm="1">
        <f t="array" ref="W34">[1]!propssi("S","Q",0,"T",Y34,$W$1)/1000</f>
        <v>1.1282848460120287</v>
      </c>
      <c r="X34" cm="1">
        <f t="array" ref="X34">[1]!propssi("S","Q",1,"T",Y34,$W$1)/1000</f>
        <v>1.7469063967315774</v>
      </c>
      <c r="Y34">
        <v>304</v>
      </c>
      <c r="Z34" cm="1">
        <f t="array" ref="Z34">[1]!propssi("S","Q",0,"T",AB34,$Z$1)/1000</f>
        <v>1.133250877141752</v>
      </c>
      <c r="AA34" cm="1">
        <f t="array" ref="AA34">[1]!propssi("S","Q",1,"T",AB34,$Z$1)/1000</f>
        <v>1.7996201534690996</v>
      </c>
      <c r="AB34">
        <v>304</v>
      </c>
      <c r="AC34" cm="1">
        <f t="array" ref="AC34">[1]!propssi("S","Q",0,"T",AE34,$AC$1)/1000</f>
        <v>1.1283655347288497</v>
      </c>
      <c r="AD34" cm="1">
        <f t="array" ref="AD34">[1]!propssi("S","Q",1,"T",AE34,$AC$1)/1000</f>
        <v>1.6737042730205081</v>
      </c>
      <c r="AE34">
        <v>304</v>
      </c>
      <c r="AF34" cm="1">
        <f t="array" ref="AF34">[1]!propssi("S","Q",0,"T",AH34,$AF$1)/1000</f>
        <v>1.1373862025205654</v>
      </c>
      <c r="AG34" cm="1">
        <f t="array" ref="AG34">[1]!propssi("S","Q",1,"T",AH34,$AF$1)/1000</f>
        <v>1.7890290300282177</v>
      </c>
      <c r="AH34">
        <v>304</v>
      </c>
      <c r="AI34" cm="1">
        <f t="array" ref="AI34">[1]!propssi("S","Q",0,"T",AK34,$AI$1)/1000</f>
        <v>1.2128629058210989</v>
      </c>
      <c r="AJ34" cm="1">
        <f t="array" ref="AJ34">[1]!propssi("S","Q",1,"T",AK34,$AI$1)/1000</f>
        <v>1.8174602974346976</v>
      </c>
      <c r="AK34">
        <v>304</v>
      </c>
    </row>
    <row r="35" spans="23:37" x14ac:dyDescent="0.3">
      <c r="W35" cm="1">
        <f t="array" ref="W35">[1]!propssi("S","Q",0,"T",Y35,$W$1)/1000</f>
        <v>1.1323042758990149</v>
      </c>
      <c r="X35" cm="1">
        <f t="array" ref="X35">[1]!propssi("S","Q",1,"T",Y35,$W$1)/1000</f>
        <v>1.7471385373299742</v>
      </c>
      <c r="Y35">
        <v>305</v>
      </c>
      <c r="Z35" cm="1">
        <f t="array" ref="Z35">[1]!propssi("S","Q",0,"T",AB35,$Z$1)/1000</f>
        <v>1.1374850695654841</v>
      </c>
      <c r="AA35" cm="1">
        <f t="array" ref="AA35">[1]!propssi("S","Q",1,"T",AB35,$Z$1)/1000</f>
        <v>1.7995843349551675</v>
      </c>
      <c r="AB35">
        <v>305</v>
      </c>
      <c r="AC35" cm="1">
        <f t="array" ref="AC35">[1]!propssi("S","Q",0,"T",AE35,$AC$1)/1000</f>
        <v>1.1324126401006489</v>
      </c>
      <c r="AD35" cm="1">
        <f t="array" ref="AD35">[1]!propssi("S","Q",1,"T",AE35,$AC$1)/1000</f>
        <v>1.6744347715605228</v>
      </c>
      <c r="AE35">
        <v>305</v>
      </c>
      <c r="AF35" cm="1">
        <f t="array" ref="AF35">[1]!propssi("S","Q",0,"T",AH35,$AF$1)/1000</f>
        <v>1.1417333057068535</v>
      </c>
      <c r="AG35" cm="1">
        <f t="array" ref="AG35">[1]!propssi("S","Q",1,"T",AH35,$AF$1)/1000</f>
        <v>1.788924500384566</v>
      </c>
      <c r="AH35">
        <v>305</v>
      </c>
      <c r="AI35" cm="1">
        <f t="array" ref="AI35">[1]!propssi("S","Q",0,"T",AK35,$AI$1)/1000</f>
        <v>1.2169685980768923</v>
      </c>
      <c r="AJ35" cm="1">
        <f t="array" ref="AJ35">[1]!propssi("S","Q",1,"T",AK35,$AI$1)/1000</f>
        <v>1.8177384191040162</v>
      </c>
      <c r="AK35">
        <v>305</v>
      </c>
    </row>
    <row r="36" spans="23:37" x14ac:dyDescent="0.3">
      <c r="W36" cm="1">
        <f t="array" ref="W36">[1]!propssi("S","Q",0,"T",Y36,$W$1)/1000</f>
        <v>1.1363159061792447</v>
      </c>
      <c r="X36" cm="1">
        <f t="array" ref="X36">[1]!propssi("S","Q",1,"T",Y36,$W$1)/1000</f>
        <v>1.7473795527963227</v>
      </c>
      <c r="Y36">
        <v>306</v>
      </c>
      <c r="Z36" cm="1">
        <f t="array" ref="Z36">[1]!propssi("S","Q",0,"T",AB36,$Z$1)/1000</f>
        <v>1.1417148200764151</v>
      </c>
      <c r="AA36" cm="1">
        <f t="array" ref="AA36">[1]!propssi("S","Q",1,"T",AB36,$Z$1)/1000</f>
        <v>1.7995582977970654</v>
      </c>
      <c r="AB36">
        <v>306</v>
      </c>
      <c r="AC36" cm="1">
        <f t="array" ref="AC36">[1]!propssi("S","Q",0,"T",AE36,$AC$1)/1000</f>
        <v>1.1364531196930312</v>
      </c>
      <c r="AD36" cm="1">
        <f t="array" ref="AD36">[1]!propssi("S","Q",1,"T",AE36,$AC$1)/1000</f>
        <v>1.6751745330992798</v>
      </c>
      <c r="AE36">
        <v>306</v>
      </c>
      <c r="AF36" cm="1">
        <f t="array" ref="AF36">[1]!propssi("S","Q",0,"T",AH36,$AF$1)/1000</f>
        <v>1.1460749348195349</v>
      </c>
      <c r="AG36" cm="1">
        <f t="array" ref="AG36">[1]!propssi("S","Q",1,"T",AH36,$AF$1)/1000</f>
        <v>1.7888283999511898</v>
      </c>
      <c r="AH36">
        <v>306</v>
      </c>
      <c r="AI36" cm="1">
        <f t="array" ref="AI36">[1]!propssi("S","Q",0,"T",AK36,$AI$1)/1000</f>
        <v>1.2210682546228571</v>
      </c>
      <c r="AJ36" cm="1">
        <f t="array" ref="AJ36">[1]!propssi("S","Q",1,"T",AK36,$AI$1)/1000</f>
        <v>1.8180264794388583</v>
      </c>
      <c r="AK36">
        <v>306</v>
      </c>
    </row>
    <row r="37" spans="23:37" x14ac:dyDescent="0.3">
      <c r="W37" cm="1">
        <f t="array" ref="W37">[1]!propssi("S","Q",0,"T",Y37,$W$1)/1000</f>
        <v>1.1403198205970508</v>
      </c>
      <c r="X37" cm="1">
        <f t="array" ref="X37">[1]!propssi("S","Q",1,"T",Y37,$W$1)/1000</f>
        <v>1.7476292324615619</v>
      </c>
      <c r="Y37">
        <v>307</v>
      </c>
      <c r="Z37" cm="1">
        <f t="array" ref="Z37">[1]!propssi("S","Q",0,"T",AB37,$Z$1)/1000</f>
        <v>1.1459402084899097</v>
      </c>
      <c r="AA37" cm="1">
        <f t="array" ref="AA37">[1]!propssi("S","Q",1,"T",AB37,$Z$1)/1000</f>
        <v>1.7995418061483948</v>
      </c>
      <c r="AB37">
        <v>307</v>
      </c>
      <c r="AC37" cm="1">
        <f t="array" ref="AC37">[1]!propssi("S","Q",0,"T",AE37,$AC$1)/1000</f>
        <v>1.1404870216198562</v>
      </c>
      <c r="AD37" cm="1">
        <f t="array" ref="AD37">[1]!propssi("S","Q",1,"T",AE37,$AC$1)/1000</f>
        <v>1.6759233439739409</v>
      </c>
      <c r="AE37">
        <v>307</v>
      </c>
      <c r="AF37" cm="1">
        <f t="array" ref="AF37">[1]!propssi("S","Q",0,"T",AH37,$AF$1)/1000</f>
        <v>1.1504112008150191</v>
      </c>
      <c r="AG37" cm="1">
        <f t="array" ref="AG37">[1]!propssi("S","Q",1,"T",AH37,$AF$1)/1000</f>
        <v>1.7887404560169236</v>
      </c>
      <c r="AH37">
        <v>307</v>
      </c>
      <c r="AI37" cm="1">
        <f t="array" ref="AI37">[1]!propssi("S","Q",0,"T",AK37,$AI$1)/1000</f>
        <v>1.2251619473790991</v>
      </c>
      <c r="AJ37" cm="1">
        <f t="array" ref="AJ37">[1]!propssi("S","Q",1,"T",AK37,$AI$1)/1000</f>
        <v>1.8183242382036755</v>
      </c>
      <c r="AK37">
        <v>307</v>
      </c>
    </row>
    <row r="38" spans="23:37" x14ac:dyDescent="0.3">
      <c r="W38" cm="1">
        <f t="array" ref="W38">[1]!propssi("S","Q",0,"T",Y38,$W$1)/1000</f>
        <v>1.1443161029590414</v>
      </c>
      <c r="X38" cm="1">
        <f t="array" ref="X38">[1]!propssi("S","Q",1,"T",Y38,$W$1)/1000</f>
        <v>1.7478873681802882</v>
      </c>
      <c r="Y38">
        <v>308</v>
      </c>
      <c r="Z38" cm="1">
        <f t="array" ref="Z38">[1]!propssi("S","Q",0,"T",AB38,$Z$1)/1000</f>
        <v>1.1501613146081937</v>
      </c>
      <c r="AA38" cm="1">
        <f t="array" ref="AA38">[1]!propssi("S","Q",1,"T",AB38,$Z$1)/1000</f>
        <v>1.7995346254405247</v>
      </c>
      <c r="AB38">
        <v>308</v>
      </c>
      <c r="AC38" cm="1">
        <f t="array" ref="AC38">[1]!propssi("S","Q",0,"T",AE38,$AC$1)/1000</f>
        <v>1.14451439411806</v>
      </c>
      <c r="AD38" cm="1">
        <f t="array" ref="AD38">[1]!propssi("S","Q",1,"T",AE38,$AC$1)/1000</f>
        <v>1.6766809928530495</v>
      </c>
      <c r="AE38">
        <v>308</v>
      </c>
      <c r="AF38" cm="1">
        <f t="array" ref="AF38">[1]!propssi("S","Q",0,"T",AH38,$AF$1)/1000</f>
        <v>1.1547422151651017</v>
      </c>
      <c r="AG38" cm="1">
        <f t="array" ref="AG38">[1]!propssi("S","Q",1,"T",AH38,$AF$1)/1000</f>
        <v>1.7886603964316987</v>
      </c>
      <c r="AH38">
        <v>308</v>
      </c>
      <c r="AI38" cm="1">
        <f t="array" ref="AI38">[1]!propssi("S","Q",0,"T",AK38,$AI$1)/1000</f>
        <v>1.2292497483730187</v>
      </c>
      <c r="AJ38" cm="1">
        <f t="array" ref="AJ38">[1]!propssi("S","Q",1,"T",AK38,$AI$1)/1000</f>
        <v>1.8186314574513061</v>
      </c>
      <c r="AK38">
        <v>308</v>
      </c>
    </row>
    <row r="39" spans="23:37" x14ac:dyDescent="0.3">
      <c r="W39" cm="1">
        <f t="array" ref="W39">[1]!propssi("S","Q",0,"T",Y39,$W$1)/1000</f>
        <v>1.1483048371542033</v>
      </c>
      <c r="X39" cm="1">
        <f t="array" ref="X39">[1]!propssi("S","Q",1,"T",Y39,$W$1)/1000</f>
        <v>1.7481537542367256</v>
      </c>
      <c r="Y39">
        <v>309</v>
      </c>
      <c r="Z39" cm="1">
        <f t="array" ref="Z39">[1]!propssi("S","Q",0,"T",AB39,$Z$1)/1000</f>
        <v>1.154378218268423</v>
      </c>
      <c r="AA39" cm="1">
        <f t="array" ref="AA39">[1]!propssi("S","Q",1,"T",AB39,$Z$1)/1000</f>
        <v>1.7995365222945843</v>
      </c>
      <c r="AB39">
        <v>309</v>
      </c>
      <c r="AC39" cm="1">
        <f t="array" ref="AC39">[1]!propssi("S","Q",0,"T",AE39,$AC$1)/1000</f>
        <v>1.1485352855609503</v>
      </c>
      <c r="AD39" cm="1">
        <f t="array" ref="AD39">[1]!propssi("S","Q",1,"T",AE39,$AC$1)/1000</f>
        <v>1.6774472706587646</v>
      </c>
      <c r="AE39">
        <v>309</v>
      </c>
      <c r="AF39" cm="1">
        <f t="array" ref="AF39">[1]!propssi("S","Q",0,"T",AH39,$AF$1)/1000</f>
        <v>1.159068089913037</v>
      </c>
      <c r="AG39" cm="1">
        <f t="array" ref="AG39">[1]!propssi("S","Q",1,"T",AH39,$AF$1)/1000</f>
        <v>1.788587949477473</v>
      </c>
      <c r="AH39">
        <v>309</v>
      </c>
      <c r="AI39" cm="1">
        <f t="array" ref="AI39">[1]!propssi("S","Q",0,"T",AK39,$AI$1)/1000</f>
        <v>1.2333317297676054</v>
      </c>
      <c r="AJ39" cm="1">
        <f t="array" ref="AJ39">[1]!propssi("S","Q",1,"T",AK39,$AI$1)/1000</f>
        <v>1.8189479014278678</v>
      </c>
      <c r="AK39">
        <v>309</v>
      </c>
    </row>
    <row r="40" spans="23:37" x14ac:dyDescent="0.3">
      <c r="W40" cm="1">
        <f t="array" ref="W40">[1]!propssi("S","Q",0,"T",Y40,$W$1)/1000</f>
        <v>1.152286107174415</v>
      </c>
      <c r="X40" cm="1">
        <f t="array" ref="X40">[1]!propssi("S","Q",1,"T",Y40,$W$1)/1000</f>
        <v>1.7484281872509952</v>
      </c>
      <c r="Y40">
        <v>310</v>
      </c>
      <c r="Z40" cm="1">
        <f t="array" ref="Z40">[1]!propssi("S","Q",0,"T",AB40,$Z$1)/1000</f>
        <v>1.1585909993917445</v>
      </c>
      <c r="AA40" cm="1">
        <f t="array" ref="AA40">[1]!propssi("S","Q",1,"T",AB40,$Z$1)/1000</f>
        <v>1.7995472644327992</v>
      </c>
      <c r="AB40">
        <v>310</v>
      </c>
      <c r="AC40" cm="1">
        <f t="array" ref="AC40">[1]!propssi("S","Q",0,"T",AE40,$AC$1)/1000</f>
        <v>1.1525497444717301</v>
      </c>
      <c r="AD40" cm="1">
        <f t="array" ref="AD40">[1]!propssi("S","Q",1,"T",AE40,$AC$1)/1000</f>
        <v>1.6782219704902421</v>
      </c>
      <c r="AE40">
        <v>310</v>
      </c>
      <c r="AF40" cm="1">
        <f t="array" ref="AF40">[1]!propssi("S","Q",0,"T",AH40,$AF$1)/1000</f>
        <v>1.163388937731423</v>
      </c>
      <c r="AG40" cm="1">
        <f t="array" ref="AG40">[1]!propssi("S","Q",1,"T",AH40,$AF$1)/1000</f>
        <v>1.7885228437367808</v>
      </c>
      <c r="AH40">
        <v>310</v>
      </c>
      <c r="AI40" cm="1">
        <f t="array" ref="AI40">[1]!propssi("S","Q",0,"T",AK40,$AI$1)/1000</f>
        <v>1.2374079638903943</v>
      </c>
      <c r="AJ40" cm="1">
        <f t="array" ref="AJ40">[1]!propssi("S","Q",1,"T",AK40,$AI$1)/1000</f>
        <v>1.8192733364754499</v>
      </c>
      <c r="AK40">
        <v>310</v>
      </c>
    </row>
    <row r="41" spans="23:37" x14ac:dyDescent="0.3">
      <c r="W41" cm="1">
        <f t="array" ref="W41">[1]!propssi("S","Q",0,"T",Y41,$W$1)/1000</f>
        <v>1.1562599971353227</v>
      </c>
      <c r="X41" cm="1">
        <f t="array" ref="X41">[1]!propssi("S","Q",1,"T",Y41,$W$1)/1000</f>
        <v>1.7487104660856125</v>
      </c>
      <c r="Y41">
        <v>311</v>
      </c>
      <c r="Z41" cm="1">
        <f t="array" ref="Z41">[1]!propssi("S","Q",0,"T",AB41,$Z$1)/1000</f>
        <v>1.1627997380334603</v>
      </c>
      <c r="AA41" cm="1">
        <f t="array" ref="AA41">[1]!propssi("S","Q",1,"T",AB41,$Z$1)/1000</f>
        <v>1.7995666205890881</v>
      </c>
      <c r="AB41">
        <v>311</v>
      </c>
      <c r="AC41" cm="1">
        <f t="array" ref="AC41">[1]!propssi("S","Q",0,"T",AE41,$AC$1)/1000</f>
        <v>1.1565578195372082</v>
      </c>
      <c r="AD41" cm="1">
        <f t="array" ref="AD41">[1]!propssi("S","Q",1,"T",AE41,$AC$1)/1000</f>
        <v>1.6790048875481611</v>
      </c>
      <c r="AE41">
        <v>311</v>
      </c>
      <c r="AF41" cm="1">
        <f t="array" ref="AF41">[1]!propssi("S","Q",0,"T",AH41,$AF$1)/1000</f>
        <v>1.1677048719820091</v>
      </c>
      <c r="AG41" cm="1">
        <f t="array" ref="AG41">[1]!propssi("S","Q",1,"T",AH41,$AF$1)/1000</f>
        <v>1.7884648079586718</v>
      </c>
      <c r="AH41">
        <v>311</v>
      </c>
      <c r="AI41" cm="1">
        <f t="array" ref="AI41">[1]!propssi("S","Q",0,"T",AK41,$AI$1)/1000</f>
        <v>1.2414785232631249</v>
      </c>
      <c r="AJ41" cm="1">
        <f t="array" ref="AJ41">[1]!propssi("S","Q",1,"T",AK41,$AI$1)/1000</f>
        <v>1.8196075309416979</v>
      </c>
      <c r="AK41">
        <v>311</v>
      </c>
    </row>
    <row r="42" spans="23:37" x14ac:dyDescent="0.3">
      <c r="W42" cm="1">
        <f t="array" ref="W42">[1]!propssi("S","Q",0,"T",Y42,$W$1)/1000</f>
        <v>1.1602265912976704</v>
      </c>
      <c r="X42" cm="1">
        <f t="array" ref="X42">[1]!propssi("S","Q",1,"T",Y42,$W$1)/1000</f>
        <v>1.7490003917521753</v>
      </c>
      <c r="Y42">
        <v>312</v>
      </c>
      <c r="Z42" cm="1">
        <f t="array" ref="Z42">[1]!propssi("S","Q",0,"T",AB42,$Z$1)/1000</f>
        <v>1.1670045144343353</v>
      </c>
      <c r="AA42" cm="1">
        <f t="array" ref="AA42">[1]!propssi("S","Q",1,"T",AB42,$Z$1)/1000</f>
        <v>1.7995943604188875</v>
      </c>
      <c r="AB42">
        <v>312</v>
      </c>
      <c r="AC42" cm="1">
        <f t="array" ref="AC42">[1]!propssi("S","Q",0,"T",AE42,$AC$1)/1000</f>
        <v>1.1605595596217664</v>
      </c>
      <c r="AD42" cm="1">
        <f t="array" ref="AD42">[1]!propssi("S","Q",1,"T",AE42,$AC$1)/1000</f>
        <v>1.679795819060397</v>
      </c>
      <c r="AE42">
        <v>312</v>
      </c>
      <c r="AF42" cm="1">
        <f t="array" ref="AF42">[1]!propssi("S","Q",0,"T",AH42,$AF$1)/1000</f>
        <v>1.1720160067775527</v>
      </c>
      <c r="AG42" cm="1">
        <f t="array" ref="AG42">[1]!propssi("S","Q",1,"T",AH42,$AF$1)/1000</f>
        <v>1.7884135709217721</v>
      </c>
      <c r="AH42">
        <v>312</v>
      </c>
      <c r="AI42" cm="1">
        <f t="array" ref="AI42">[1]!propssi("S","Q",0,"T",AK42,$AI$1)/1000</f>
        <v>1.2455434806317038</v>
      </c>
      <c r="AJ42" cm="1">
        <f t="array" ref="AJ42">[1]!propssi("S","Q",1,"T",AK42,$AI$1)/1000</f>
        <v>1.8199502550851874</v>
      </c>
      <c r="AK42">
        <v>312</v>
      </c>
    </row>
    <row r="43" spans="23:37" x14ac:dyDescent="0.3">
      <c r="W43" cm="1">
        <f t="array" ref="W43">[1]!propssi("S","Q",0,"T",Y43,$W$1)/1000</f>
        <v>1.1641859740890776</v>
      </c>
      <c r="X43" cm="1">
        <f t="array" ref="X43">[1]!propssi("S","Q",1,"T",Y43,$W$1)/1000</f>
        <v>1.749297767318257</v>
      </c>
      <c r="Y43">
        <v>313</v>
      </c>
      <c r="Z43" cm="1">
        <f t="array" ref="Z43">[1]!propssi("S","Q",0,"T",AB43,$Z$1)/1000</f>
        <v>1.1712054090731281</v>
      </c>
      <c r="AA43" cm="1">
        <f t="array" ref="AA43">[1]!propssi("S","Q",1,"T",AB43,$Z$1)/1000</f>
        <v>1.799630254408118</v>
      </c>
      <c r="AB43">
        <v>313</v>
      </c>
      <c r="AC43" cm="1">
        <f t="array" ref="AC43">[1]!propssi("S","Q",0,"T",AE43,$AC$1)/1000</f>
        <v>1.1645550137815506</v>
      </c>
      <c r="AD43" cm="1">
        <f t="array" ref="AD43">[1]!propssi("S","Q",1,"T",AE43,$AC$1)/1000</f>
        <v>1.6805945642087081</v>
      </c>
      <c r="AE43">
        <v>313</v>
      </c>
      <c r="AF43" cm="1">
        <f t="array" ref="AF43">[1]!propssi("S","Q",0,"T",AH43,$AF$1)/1000</f>
        <v>1.1763224570458735</v>
      </c>
      <c r="AG43" cm="1">
        <f t="array" ref="AG43">[1]!propssi("S","Q",1,"T",AH43,$AF$1)/1000</f>
        <v>1.7883688612942439</v>
      </c>
      <c r="AH43">
        <v>313</v>
      </c>
      <c r="AI43" cm="1">
        <f t="array" ref="AI43">[1]!propssi("S","Q",0,"T",AK43,$AI$1)/1000</f>
        <v>1.2496029089973764</v>
      </c>
      <c r="AJ43" cm="1">
        <f t="array" ref="AJ43">[1]!propssi("S","Q",1,"T",AK43,$AI$1)/1000</f>
        <v>1.8203012809810928</v>
      </c>
      <c r="AK43">
        <v>313</v>
      </c>
    </row>
    <row r="44" spans="23:37" x14ac:dyDescent="0.3">
      <c r="W44" cm="1">
        <f t="array" ref="W44">[1]!propssi("S","Q",0,"T",Y44,$W$1)/1000</f>
        <v>1.1681382301262944</v>
      </c>
      <c r="X44" cm="1">
        <f t="array" ref="X44">[1]!propssi("S","Q",1,"T",Y44,$W$1)/1000</f>
        <v>1.7496023978143871</v>
      </c>
      <c r="Y44">
        <v>314</v>
      </c>
      <c r="Z44" cm="1">
        <f t="array" ref="Z44">[1]!propssi("S","Q",0,"T",AB44,$Z$1)/1000</f>
        <v>1.1754025027204051</v>
      </c>
      <c r="AA44" cm="1">
        <f t="array" ref="AA44">[1]!propssi("S","Q",1,"T",AB44,$Z$1)/1000</f>
        <v>1.7996740737812091</v>
      </c>
      <c r="AB44">
        <v>314</v>
      </c>
      <c r="AC44" cm="1">
        <f t="array" ref="AC44">[1]!propssi("S","Q",0,"T",AE44,$AC$1)/1000</f>
        <v>1.1685442312789298</v>
      </c>
      <c r="AD44" cm="1">
        <f t="array" ref="AD44">[1]!propssi("S","Q",1,"T",AE44,$AC$1)/1000</f>
        <v>1.6814009240564833</v>
      </c>
      <c r="AE44">
        <v>314</v>
      </c>
      <c r="AF44" cm="1">
        <f t="array" ref="AF44">[1]!propssi("S","Q",0,"T",AH44,$AF$1)/1000</f>
        <v>1.1806243385962252</v>
      </c>
      <c r="AG44" cm="1">
        <f t="array" ref="AG44">[1]!propssi("S","Q",1,"T",AH44,$AF$1)/1000</f>
        <v>1.7883304074903039</v>
      </c>
      <c r="AH44">
        <v>314</v>
      </c>
      <c r="AI44" cm="1">
        <f t="array" ref="AI44">[1]!propssi("S","Q",0,"T",AK44,$AI$1)/1000</f>
        <v>1.2536568816481064</v>
      </c>
      <c r="AJ44" cm="1">
        <f t="array" ref="AJ44">[1]!propssi("S","Q",1,"T",AK44,$AI$1)/1000</f>
        <v>1.8206603824289718</v>
      </c>
      <c r="AK44">
        <v>314</v>
      </c>
    </row>
    <row r="45" spans="23:37" x14ac:dyDescent="0.3">
      <c r="W45" cm="1">
        <f t="array" ref="W45">[1]!propssi("S","Q",0,"T",Y45,$W$1)/1000</f>
        <v>1.1720834442379842</v>
      </c>
      <c r="X45" cm="1">
        <f t="array" ref="X45">[1]!propssi("S","Q",1,"T",Y45,$W$1)/1000</f>
        <v>1.7499140901411592</v>
      </c>
      <c r="Y45">
        <v>315</v>
      </c>
      <c r="Z45" cm="1">
        <f t="array" ref="Z45">[1]!propssi("S","Q",0,"T",AB45,$Z$1)/1000</f>
        <v>1.17959587649373</v>
      </c>
      <c r="AA45" cm="1">
        <f t="array" ref="AA45">[1]!propssi("S","Q",1,"T",AB45,$Z$1)/1000</f>
        <v>1.7997255904080958</v>
      </c>
      <c r="AB45">
        <v>315</v>
      </c>
      <c r="AC45" cm="1">
        <f t="array" ref="AC45">[1]!propssi("S","Q",0,"T",AE45,$AC$1)/1000</f>
        <v>1.1725272615972393</v>
      </c>
      <c r="AD45" cm="1">
        <f t="array" ref="AD45">[1]!propssi("S","Q",1,"T",AE45,$AC$1)/1000</f>
        <v>1.6822147014774795</v>
      </c>
      <c r="AE45">
        <v>315</v>
      </c>
      <c r="AF45" cm="1">
        <f t="array" ref="AF45">[1]!propssi("S","Q",0,"T",AH45,$AF$1)/1000</f>
        <v>1.1849217681881827</v>
      </c>
      <c r="AG45" cm="1">
        <f t="array" ref="AG45">[1]!propssi("S","Q",1,"T",AH45,$AF$1)/1000</f>
        <v>1.7882979375230919</v>
      </c>
      <c r="AH45">
        <v>315</v>
      </c>
      <c r="AI45" cm="1">
        <f t="array" ref="AI45">[1]!propssi("S","Q",0,"T",AK45,$AI$1)/1000</f>
        <v>1.2577054721910708</v>
      </c>
      <c r="AJ45" cm="1">
        <f t="array" ref="AJ45">[1]!propssi("S","Q",1,"T",AK45,$AI$1)/1000</f>
        <v>1.8210273348591139</v>
      </c>
      <c r="AK45">
        <v>315</v>
      </c>
    </row>
    <row r="46" spans="23:37" x14ac:dyDescent="0.3">
      <c r="W46" cm="1">
        <f t="array" ref="W46">[1]!propssi("S","Q",0,"T",Y46,$W$1)/1000</f>
        <v>1.1760217014880414</v>
      </c>
      <c r="X46" cm="1">
        <f t="array" ref="X46">[1]!propssi("S","Q",1,"T",Y46,$W$1)/1000</f>
        <v>1.7502326529763415</v>
      </c>
      <c r="Y46">
        <v>316</v>
      </c>
      <c r="Z46" cm="1">
        <f t="array" ref="Z46">[1]!propssi("S","Q",0,"T",AB46,$Z$1)/1000</f>
        <v>1.1837856119142895</v>
      </c>
      <c r="AA46" cm="1">
        <f t="array" ref="AA46">[1]!propssi("S","Q",1,"T",AB46,$Z$1)/1000</f>
        <v>1.7997845767101206</v>
      </c>
      <c r="AB46">
        <v>316</v>
      </c>
      <c r="AC46" cm="1">
        <f t="array" ref="AC46">[1]!propssi("S","Q",0,"T",AE46,$AC$1)/1000</f>
        <v>1.1765041544558079</v>
      </c>
      <c r="AD46" cm="1">
        <f t="array" ref="AD46">[1]!propssi("S","Q",1,"T",AE46,$AC$1)/1000</f>
        <v>1.6830357010854711</v>
      </c>
      <c r="AE46">
        <v>316</v>
      </c>
      <c r="AF46" cm="1">
        <f t="array" ref="AF46">[1]!propssi("S","Q",0,"T",AH46,$AF$1)/1000</f>
        <v>1.1892148636031594</v>
      </c>
      <c r="AG46" cm="1">
        <f t="array" ref="AG46">[1]!propssi("S","Q",1,"T",AH46,$AF$1)/1000</f>
        <v>1.7882711788534953</v>
      </c>
      <c r="AH46">
        <v>316</v>
      </c>
      <c r="AI46" cm="1">
        <f t="array" ref="AI46">[1]!propssi("S","Q",0,"T",AK46,$AI$1)/1000</f>
        <v>1.2617487545857307</v>
      </c>
      <c r="AJ46" cm="1">
        <f t="array" ref="AJ46">[1]!propssi("S","Q",1,"T",AK46,$AI$1)/1000</f>
        <v>1.8214019152415304</v>
      </c>
      <c r="AK46">
        <v>316</v>
      </c>
    </row>
    <row r="47" spans="23:37" x14ac:dyDescent="0.3">
      <c r="W47" cm="1">
        <f t="array" ref="W47">[1]!propssi("S","Q",0,"T",Y47,$W$1)/1000</f>
        <v>1.1799530871994934</v>
      </c>
      <c r="X47" cm="1">
        <f t="array" ref="X47">[1]!propssi("S","Q",1,"T",Y47,$W$1)/1000</f>
        <v>1.7505578966820232</v>
      </c>
      <c r="Y47">
        <v>317</v>
      </c>
      <c r="Z47" cm="1">
        <f t="array" ref="Z47">[1]!propssi("S","Q",0,"T",AB47,$Z$1)/1000</f>
        <v>1.187971790965038</v>
      </c>
      <c r="AA47" cm="1">
        <f t="array" ref="AA47">[1]!propssi("S","Q",1,"T",AB47,$Z$1)/1000</f>
        <v>1.7998508055647062</v>
      </c>
      <c r="AB47">
        <v>317</v>
      </c>
      <c r="AC47" cm="1">
        <f t="array" ref="AC47">[1]!propssi("S","Q",0,"T",AE47,$AC$1)/1000</f>
        <v>1.1804749598253088</v>
      </c>
      <c r="AD47" cm="1">
        <f t="array" ref="AD47">[1]!propssi("S","Q",1,"T",AE47,$AC$1)/1000</f>
        <v>1.6838637291647942</v>
      </c>
      <c r="AE47">
        <v>317</v>
      </c>
      <c r="AF47" cm="1">
        <f t="array" ref="AF47">[1]!propssi("S","Q",0,"T",AH47,$AF$1)/1000</f>
        <v>1.1935037437187745</v>
      </c>
      <c r="AG47" cm="1">
        <f t="array" ref="AG47">[1]!propssi("S","Q",1,"T",AH47,$AF$1)/1000</f>
        <v>1.7882498582346511</v>
      </c>
      <c r="AH47">
        <v>317</v>
      </c>
      <c r="AI47" cm="1">
        <f t="array" ref="AI47">[1]!propssi("S","Q",0,"T",AK47,$AI$1)/1000</f>
        <v>1.2657868031780015</v>
      </c>
      <c r="AJ47" cm="1">
        <f t="array" ref="AJ47">[1]!propssi("S","Q",1,"T",AK47,$AI$1)/1000</f>
        <v>1.821783901986864</v>
      </c>
      <c r="AK47">
        <v>317</v>
      </c>
    </row>
    <row r="48" spans="23:37" x14ac:dyDescent="0.3">
      <c r="W48" cm="1">
        <f t="array" ref="W48">[1]!propssi("S","Q",0,"T",Y48,$W$1)/1000</f>
        <v>1.1838776869789995</v>
      </c>
      <c r="X48" cm="1">
        <f t="array" ref="X48">[1]!propssi("S","Q",1,"T",Y48,$W$1)/1000</f>
        <v>1.7508896332116617</v>
      </c>
      <c r="Y48">
        <v>318</v>
      </c>
      <c r="Z48" cm="1">
        <f t="array" ref="Z48">[1]!propssi("S","Q",0,"T",AB48,$Z$1)/1000</f>
        <v>1.19215449615047</v>
      </c>
      <c r="AA48" cm="1">
        <f t="array" ref="AA48">[1]!propssi("S","Q",1,"T",AB48,$Z$1)/1000</f>
        <v>1.7999240502087535</v>
      </c>
      <c r="AB48">
        <v>318</v>
      </c>
      <c r="AC48" cm="1">
        <f t="array" ref="AC48">[1]!propssi("S","Q",0,"T",AE48,$AC$1)/1000</f>
        <v>1.184439727943438</v>
      </c>
      <c r="AD48" cm="1">
        <f t="array" ref="AD48">[1]!propssi("S","Q",1,"T",AE48,$AC$1)/1000</f>
        <v>1.6846985936017107</v>
      </c>
      <c r="AE48">
        <v>318</v>
      </c>
      <c r="AF48" cm="1">
        <f t="array" ref="AF48">[1]!propssi("S","Q",0,"T",AH48,$AF$1)/1000</f>
        <v>1.1977885285862369</v>
      </c>
      <c r="AG48" cm="1">
        <f t="array" ref="AG48">[1]!propssi("S","Q",1,"T",AH48,$AF$1)/1000</f>
        <v>1.7882337015517713</v>
      </c>
      <c r="AH48">
        <v>318</v>
      </c>
      <c r="AI48" cm="1">
        <f t="array" ref="AI48">[1]!propssi("S","Q",0,"T",AK48,$AI$1)/1000</f>
        <v>1.2698196927352483</v>
      </c>
      <c r="AJ48" cm="1">
        <f t="array" ref="AJ48">[1]!propssi("S","Q",1,"T",AK48,$AI$1)/1000</f>
        <v>1.8221730748634442</v>
      </c>
      <c r="AK48">
        <v>318</v>
      </c>
    </row>
    <row r="49" spans="23:37" x14ac:dyDescent="0.3">
      <c r="W49" cm="1">
        <f t="array" ref="W49">[1]!propssi("S","Q",0,"T",Y49,$W$1)/1000</f>
        <v>1.1877955867420156</v>
      </c>
      <c r="X49" cm="1">
        <f t="array" ref="X49">[1]!propssi("S","Q",1,"T",Y49,$W$1)/1000</f>
        <v>1.751227676017058</v>
      </c>
      <c r="Y49">
        <v>319</v>
      </c>
      <c r="Z49" cm="1">
        <f t="array" ref="Z49">[1]!propssi("S","Q",0,"T",AB49,$Z$1)/1000</f>
        <v>1.1963338105580916</v>
      </c>
      <c r="AA49" cm="1">
        <f t="array" ref="AA49">[1]!propssi("S","Q",1,"T",AB49,$Z$1)/1000</f>
        <v>1.800004084140588</v>
      </c>
      <c r="AB49">
        <v>319</v>
      </c>
      <c r="AC49" cm="1">
        <f t="array" ref="AC49">[1]!propssi("S","Q",0,"T",AE49,$AC$1)/1000</f>
        <v>1.1883985093309544</v>
      </c>
      <c r="AD49" cm="1">
        <f t="array" ref="AD49">[1]!propssi("S","Q",1,"T",AE49,$AC$1)/1000</f>
        <v>1.685540103816566</v>
      </c>
      <c r="AE49">
        <v>319</v>
      </c>
      <c r="AF49" cm="1">
        <f t="array" ref="AF49">[1]!propssi("S","Q",0,"T",AH49,$AF$1)/1000</f>
        <v>1.2020693395109567</v>
      </c>
      <c r="AG49" cm="1">
        <f t="array" ref="AG49">[1]!propssi("S","Q",1,"T",AH49,$AF$1)/1000</f>
        <v>1.7882224336568762</v>
      </c>
      <c r="AH49">
        <v>319</v>
      </c>
      <c r="AI49" cm="1">
        <f t="array" ref="AI49">[1]!propssi("S","Q",0,"T",AK49,$AI$1)/1000</f>
        <v>1.2738474984821182</v>
      </c>
      <c r="AJ49" cm="1">
        <f t="array" ref="AJ49">[1]!propssi("S","Q",1,"T",AK49,$AI$1)/1000</f>
        <v>1.822569214890065</v>
      </c>
      <c r="AK49">
        <v>319</v>
      </c>
    </row>
    <row r="50" spans="23:37" x14ac:dyDescent="0.3">
      <c r="W50" cm="1">
        <f t="array" ref="W50">[1]!propssi("S","Q",0,"T",Y50,$W$1)/1000</f>
        <v>1.1917068727386215</v>
      </c>
      <c r="X50" cm="1">
        <f t="array" ref="X50">[1]!propssi("S","Q",1,"T",Y50,$W$1)/1000</f>
        <v>1.7515718399551308</v>
      </c>
      <c r="Y50">
        <v>320</v>
      </c>
      <c r="Z50" cm="1">
        <f t="array" ref="Z50">[1]!propssi("S","Q",0,"T",AB50,$Z$1)/1000</f>
        <v>1.2005098179216789</v>
      </c>
      <c r="AA50" cm="1">
        <f t="array" ref="AA50">[1]!propssi("S","Q",1,"T",AB50,$Z$1)/1000</f>
        <v>1.8000906810203972</v>
      </c>
      <c r="AB50">
        <v>320</v>
      </c>
      <c r="AC50" cm="1">
        <f t="array" ref="AC50">[1]!propssi("S","Q",0,"T",AE50,$AC$1)/1000</f>
        <v>1.1923513548080913</v>
      </c>
      <c r="AD50" cm="1">
        <f t="array" ref="AD50">[1]!propssi("S","Q",1,"T",AE50,$AC$1)/1000</f>
        <v>1.6863880706966341</v>
      </c>
      <c r="AE50">
        <v>320</v>
      </c>
      <c r="AF50" cm="1">
        <f t="array" ref="AF50">[1]!propssi("S","Q",0,"T",AH50,$AF$1)/1000</f>
        <v>1.2063462991366001</v>
      </c>
      <c r="AG50" cm="1">
        <f t="array" ref="AG50">[1]!propssi("S","Q",1,"T",AH50,$AF$1)/1000</f>
        <v>1.7882157781980859</v>
      </c>
      <c r="AH50">
        <v>320</v>
      </c>
      <c r="AI50" cm="1">
        <f t="array" ref="AI50">[1]!propssi("S","Q",0,"T",AK50,$AI$1)/1000</f>
        <v>1.2778702961374968</v>
      </c>
      <c r="AJ50" cm="1">
        <f t="array" ref="AJ50">[1]!propssi("S","Q",1,"T",AK50,$AI$1)/1000</f>
        <v>1.8229721042544018</v>
      </c>
      <c r="AK50">
        <v>320</v>
      </c>
    </row>
    <row r="51" spans="23:37" x14ac:dyDescent="0.3">
      <c r="W51" cm="1">
        <f t="array" ref="W51">[1]!propssi("S","Q",0,"T",Y51,$W$1)/1000</f>
        <v>1.1956116315800682</v>
      </c>
      <c r="X51" cm="1">
        <f t="array" ref="X51">[1]!propssi("S","Q",1,"T",Y51,$W$1)/1000</f>
        <v>1.7519219411944811</v>
      </c>
      <c r="Y51">
        <v>321</v>
      </c>
      <c r="Z51" cm="1">
        <f t="array" ref="Z51">[1]!propssi("S","Q",0,"T",AB51,$Z$1)/1000</f>
        <v>1.2046826026864579</v>
      </c>
      <c r="AA51" cm="1">
        <f t="array" ref="AA51">[1]!propssi("S","Q",1,"T",AB51,$Z$1)/1000</f>
        <v>1.8001836145689711</v>
      </c>
      <c r="AB51">
        <v>321</v>
      </c>
      <c r="AC51" cm="1">
        <f t="array" ref="AC51">[1]!propssi("S","Q",0,"T",AE51,$AC$1)/1000</f>
        <v>1.1962983155113749</v>
      </c>
      <c r="AD51" cm="1">
        <f t="array" ref="AD51">[1]!propssi("S","Q",1,"T",AE51,$AC$1)/1000</f>
        <v>1.6872423065296249</v>
      </c>
      <c r="AE51">
        <v>321</v>
      </c>
      <c r="AF51" cm="1">
        <f t="array" ref="AF51">[1]!propssi("S","Q",0,"T",AH51,$AF$1)/1000</f>
        <v>1.2106195315328308</v>
      </c>
      <c r="AG51" cm="1">
        <f t="array" ref="AG51">[1]!propssi("S","Q",1,"T",AH51,$AF$1)/1000</f>
        <v>1.7882134574430255</v>
      </c>
      <c r="AH51">
        <v>321</v>
      </c>
      <c r="AI51" cm="1">
        <f t="array" ref="AI51">[1]!propssi("S","Q",0,"T",AK51,$AI$1)/1000</f>
        <v>1.281888161952732</v>
      </c>
      <c r="AJ51" cm="1">
        <f t="array" ref="AJ51">[1]!propssi("S","Q",1,"T",AK51,$AI$1)/1000</f>
        <v>1.8233815262105832</v>
      </c>
      <c r="AK51">
        <v>321</v>
      </c>
    </row>
    <row r="52" spans="23:37" x14ac:dyDescent="0.3">
      <c r="W52" cm="1">
        <f t="array" ref="W52">[1]!propssi("S","Q",0,"T",Y52,$W$1)/1000</f>
        <v>1.1995099502660949</v>
      </c>
      <c r="X52" cm="1">
        <f t="array" ref="X52">[1]!propssi("S","Q",1,"T",Y52,$W$1)/1000</f>
        <v>1.7522777971216472</v>
      </c>
      <c r="Y52">
        <v>322</v>
      </c>
      <c r="Z52" cm="1">
        <f t="array" ref="Z52">[1]!propssi("S","Q",0,"T",AB52,$Z$1)/1000</f>
        <v>1.2088522500762893</v>
      </c>
      <c r="AA52" cm="1">
        <f t="array" ref="AA52">[1]!propssi("S","Q",1,"T",AB52,$Z$1)/1000</f>
        <v>1.8002826584646967</v>
      </c>
      <c r="AB52">
        <v>322</v>
      </c>
      <c r="AC52" cm="1">
        <f t="array" ref="AC52">[1]!propssi("S","Q",0,"T",AE52,$AC$1)/1000</f>
        <v>1.2002394429108567</v>
      </c>
      <c r="AD52" cm="1">
        <f t="array" ref="AD52">[1]!propssi("S","Q",1,"T",AE52,$AC$1)/1000</f>
        <v>1.6881026249377775</v>
      </c>
      <c r="AE52">
        <v>322</v>
      </c>
      <c r="AF52" cm="1">
        <f t="array" ref="AF52">[1]!propssi("S","Q",0,"T",AH52,$AF$1)/1000</f>
        <v>1.2148891622869842</v>
      </c>
      <c r="AG52" cm="1">
        <f t="array" ref="AG52">[1]!propssi("S","Q",1,"T",AH52,$AF$1)/1000</f>
        <v>1.7882151920958818</v>
      </c>
      <c r="AH52">
        <v>322</v>
      </c>
      <c r="AI52" cm="1">
        <f t="array" ref="AI52">[1]!propssi("S","Q",0,"T",AK52,$AI$1)/1000</f>
        <v>1.2859011727507341</v>
      </c>
      <c r="AJ52" cm="1">
        <f t="array" ref="AJ52">[1]!propssi("S","Q",1,"T",AK52,$AI$1)/1000</f>
        <v>1.8237972649916303</v>
      </c>
      <c r="AK52">
        <v>322</v>
      </c>
    </row>
    <row r="53" spans="23:37" x14ac:dyDescent="0.3">
      <c r="W53" cm="1">
        <f t="array" ref="W53">[1]!propssi("S","Q",0,"T",Y53,$W$1)/1000</f>
        <v>1.2034019162130283</v>
      </c>
      <c r="X53" cm="1">
        <f t="array" ref="X53">[1]!propssi("S","Q",1,"T",Y53,$W$1)/1000</f>
        <v>1.7526392262470065</v>
      </c>
      <c r="Y53">
        <v>323</v>
      </c>
      <c r="Z53" cm="1">
        <f t="array" ref="Z53">[1]!propssi("S","Q",0,"T",AB53,$Z$1)/1000</f>
        <v>1.2130188461629825</v>
      </c>
      <c r="AA53" cm="1">
        <f t="array" ref="AA53">[1]!propssi("S","Q",1,"T",AB53,$Z$1)/1000</f>
        <v>1.800387586238535</v>
      </c>
      <c r="AB53">
        <v>323</v>
      </c>
      <c r="AC53" cm="1">
        <f t="array" ref="AC53">[1]!propssi("S","Q",0,"T",AE53,$AC$1)/1000</f>
        <v>1.2041747888278056</v>
      </c>
      <c r="AD53" cm="1">
        <f t="array" ref="AD53">[1]!propssi("S","Q",1,"T",AE53,$AC$1)/1000</f>
        <v>1.6889688408124552</v>
      </c>
      <c r="AE53">
        <v>323</v>
      </c>
      <c r="AF53" cm="1">
        <f t="array" ref="AF53">[1]!propssi("S","Q",0,"T",AH53,$AF$1)/1000</f>
        <v>1.2191553185999238</v>
      </c>
      <c r="AG53" cm="1">
        <f t="array" ref="AG53">[1]!propssi("S","Q",1,"T",AH53,$AF$1)/1000</f>
        <v>1.788220701107613</v>
      </c>
      <c r="AH53">
        <v>323</v>
      </c>
      <c r="AI53" cm="1">
        <f t="array" ref="AI53">[1]!propssi("S","Q",0,"T",AK53,$AI$1)/1000</f>
        <v>1.2899094059664378</v>
      </c>
      <c r="AJ53" cm="1">
        <f t="array" ref="AJ53">[1]!propssi("S","Q",1,"T",AK53,$AI$1)/1000</f>
        <v>1.8242191057019244</v>
      </c>
      <c r="AK53">
        <v>323</v>
      </c>
    </row>
    <row r="54" spans="23:37" x14ac:dyDescent="0.3">
      <c r="W54" cm="1">
        <f t="array" ref="W54">[1]!propssi("S","Q",0,"T",Y54,$W$1)/1000</f>
        <v>1.2072876172827212</v>
      </c>
      <c r="X54" cm="1">
        <f t="array" ref="X54">[1]!propssi("S","Q",1,"T",Y54,$W$1)/1000</f>
        <v>1.7530060481102161</v>
      </c>
      <c r="Y54">
        <v>324</v>
      </c>
      <c r="Z54" cm="1">
        <f t="array" ref="Z54">[1]!propssi("S","Q",0,"T",AB54,$Z$1)/1000</f>
        <v>1.217182477937832</v>
      </c>
      <c r="AA54" cm="1">
        <f t="array" ref="AA54">[1]!propssi("S","Q",1,"T",AB54,$Z$1)/1000</f>
        <v>1.800498171166943</v>
      </c>
      <c r="AB54">
        <v>324</v>
      </c>
      <c r="AC54" cm="1">
        <f t="array" ref="AC54">[1]!propssi("S","Q",0,"T",AE54,$AC$1)/1000</f>
        <v>1.2081044054528813</v>
      </c>
      <c r="AD54" cm="1">
        <f t="array" ref="AD54">[1]!propssi("S","Q",1,"T",AE54,$AC$1)/1000</f>
        <v>1.6898407702492029</v>
      </c>
      <c r="AE54">
        <v>324</v>
      </c>
      <c r="AF54" cm="1">
        <f t="array" ref="AF54">[1]!propssi("S","Q",0,"T",AH54,$AF$1)/1000</f>
        <v>1.223418129386433</v>
      </c>
      <c r="AG54" cm="1">
        <f t="array" ref="AG54">[1]!propssi("S","Q",1,"T",AH54,$AF$1)/1000</f>
        <v>1.7882297014788513</v>
      </c>
      <c r="AH54">
        <v>324</v>
      </c>
      <c r="AI54" cm="1">
        <f t="array" ref="AI54">[1]!propssi("S","Q",0,"T",AK54,$AI$1)/1000</f>
        <v>1.293912939688532</v>
      </c>
      <c r="AJ54" cm="1">
        <f t="array" ref="AJ54">[1]!propssi("S","Q",1,"T",AK54,$AI$1)/1000</f>
        <v>1.8246468342325532</v>
      </c>
      <c r="AK54">
        <v>324</v>
      </c>
    </row>
    <row r="55" spans="23:37" x14ac:dyDescent="0.3">
      <c r="W55" cm="1">
        <f t="array" ref="W55">[1]!propssi("S","Q",0,"T",Y55,$W$1)/1000</f>
        <v>1.2111671418124004</v>
      </c>
      <c r="X55" cm="1">
        <f t="array" ref="X55">[1]!propssi("S","Q",1,"T",Y55,$W$1)/1000</f>
        <v>1.7533780831851655</v>
      </c>
      <c r="Y55">
        <v>325</v>
      </c>
      <c r="Z55" cm="1">
        <f t="array" ref="Z55">[1]!propssi("S","Q",0,"T",AB55,$Z$1)/1000</f>
        <v>1.221343233385572</v>
      </c>
      <c r="AA55" cm="1">
        <f t="array" ref="AA55">[1]!propssi("S","Q",1,"T",AB55,$Z$1)/1000</f>
        <v>1.8006141861624902</v>
      </c>
      <c r="AB55">
        <v>325</v>
      </c>
      <c r="AC55" cm="1">
        <f t="array" ref="AC55">[1]!propssi("S","Q",0,"T",AE55,$AC$1)/1000</f>
        <v>1.2120283453647906</v>
      </c>
      <c r="AD55" cm="1">
        <f t="array" ref="AD55">[1]!propssi("S","Q",1,"T",AE55,$AC$1)/1000</f>
        <v>1.6907182304831649</v>
      </c>
      <c r="AE55">
        <v>325</v>
      </c>
      <c r="AF55" cm="1">
        <f t="array" ref="AF55">[1]!propssi("S","Q",0,"T",AH55,$AF$1)/1000</f>
        <v>1.2276777253803743</v>
      </c>
      <c r="AG55" cm="1">
        <f t="array" ref="AG55">[1]!propssi("S","Q",1,"T",AH55,$AF$1)/1000</f>
        <v>1.7882419080548488</v>
      </c>
      <c r="AH55">
        <v>325</v>
      </c>
      <c r="AI55" cm="1">
        <f t="array" ref="AI55">[1]!propssi("S","Q",0,"T",AK55,$AI$1)/1000</f>
        <v>1.2979118527025533</v>
      </c>
      <c r="AJ55" cm="1">
        <f t="array" ref="AJ55">[1]!propssi("S","Q",1,"T",AK55,$AI$1)/1000</f>
        <v>1.8250802371576449</v>
      </c>
      <c r="AK55">
        <v>325</v>
      </c>
    </row>
    <row r="56" spans="23:37" x14ac:dyDescent="0.3">
      <c r="W56" cm="1">
        <f t="array" ref="W56">[1]!propssi("S","Q",0,"T",Y56,$W$1)/1000</f>
        <v>1.2150405786454082</v>
      </c>
      <c r="X56" cm="1">
        <f t="array" ref="X56">[1]!propssi("S","Q",1,"T",Y56,$W$1)/1000</f>
        <v>1.7537551527843021</v>
      </c>
      <c r="Y56">
        <v>326</v>
      </c>
      <c r="Z56" cm="1">
        <f t="array" ref="Z56">[1]!propssi("S","Q",0,"T",AB56,$Z$1)/1000</f>
        <v>1.2255012015607956</v>
      </c>
      <c r="AA56" cm="1">
        <f t="array" ref="AA56">[1]!propssi("S","Q",1,"T",AB56,$Z$1)/1000</f>
        <v>1.8007354036620364</v>
      </c>
      <c r="AB56">
        <v>326</v>
      </c>
      <c r="AC56" cm="1">
        <f t="array" ref="AC56">[1]!propssi("S","Q",0,"T",AE56,$AC$1)/1000</f>
        <v>1.2159466615495076</v>
      </c>
      <c r="AD56" cm="1">
        <f t="array" ref="AD56">[1]!propssi("S","Q",1,"T",AE56,$AC$1)/1000</f>
        <v>1.6916010398247905</v>
      </c>
      <c r="AE56">
        <v>326</v>
      </c>
      <c r="AF56" cm="1">
        <f t="array" ref="AF56">[1]!propssi("S","Q",0,"T",AH56,$AF$1)/1000</f>
        <v>1.2319342392450277</v>
      </c>
      <c r="AG56" cm="1">
        <f t="array" ref="AG56">[1]!propssi("S","Q",1,"T",AH56,$AF$1)/1000</f>
        <v>1.7882570333119507</v>
      </c>
      <c r="AH56">
        <v>326</v>
      </c>
      <c r="AI56" cm="1">
        <f t="array" ref="AI56">[1]!propssi("S","Q",0,"T",AK56,$AI$1)/1000</f>
        <v>1.3019062245354196</v>
      </c>
      <c r="AJ56" cm="1">
        <f t="array" ref="AJ56">[1]!propssi("S","Q",1,"T",AK56,$AI$1)/1000</f>
        <v>1.8255191016367223</v>
      </c>
      <c r="AK56">
        <v>326</v>
      </c>
    </row>
    <row r="57" spans="23:37" x14ac:dyDescent="0.3">
      <c r="W57" cm="1">
        <f t="array" ref="W57">[1]!propssi("S","Q",0,"T",Y57,$W$1)/1000</f>
        <v>1.2189080171629554</v>
      </c>
      <c r="X57" cm="1">
        <f t="array" ref="X57">[1]!propssi("S","Q",1,"T",Y57,$W$1)/1000</f>
        <v>1.7541370789622843</v>
      </c>
      <c r="Y57">
        <v>327</v>
      </c>
      <c r="Z57" cm="1">
        <f t="array" ref="Z57">[1]!propssi("S","Q",0,"T",AB57,$Z$1)/1000</f>
        <v>1.2296564726670625</v>
      </c>
      <c r="AA57" cm="1">
        <f t="array" ref="AA57">[1]!propssi("S","Q",1,"T",AB57,$Z$1)/1000</f>
        <v>1.8008615955122109</v>
      </c>
      <c r="AB57">
        <v>327</v>
      </c>
      <c r="AC57" cm="1">
        <f t="array" ref="AC57">[1]!propssi("S","Q",0,"T",AE57,$AC$1)/1000</f>
        <v>1.2198594074200462</v>
      </c>
      <c r="AD57" cm="1">
        <f t="array" ref="AD57">[1]!propssi("S","Q",1,"T",AE57,$AC$1)/1000</f>
        <v>1.6924890175957668</v>
      </c>
      <c r="AE57">
        <v>327</v>
      </c>
      <c r="AF57" cm="1">
        <f t="array" ref="AF57">[1]!propssi("S","Q",0,"T",AH57,$AF$1)/1000</f>
        <v>1.2361878056889293</v>
      </c>
      <c r="AG57" cm="1">
        <f t="array" ref="AG57">[1]!propssi("S","Q",1,"T",AH57,$AF$1)/1000</f>
        <v>1.7882747871348936</v>
      </c>
      <c r="AH57">
        <v>327</v>
      </c>
      <c r="AI57" cm="1">
        <f t="array" ref="AI57">[1]!propssi("S","Q",0,"T",AK57,$AI$1)/1000</f>
        <v>1.3058961355014913</v>
      </c>
      <c r="AJ57" cm="1">
        <f t="array" ref="AJ57">[1]!propssi("S","Q",1,"T",AK57,$AI$1)/1000</f>
        <v>1.8259632153155168</v>
      </c>
      <c r="AK57">
        <v>327</v>
      </c>
    </row>
    <row r="58" spans="23:37" x14ac:dyDescent="0.3">
      <c r="W58" cm="1">
        <f t="array" ref="W58">[1]!propssi("S","Q",0,"T",Y58,$W$1)/1000</f>
        <v>1.2227695473168991</v>
      </c>
      <c r="X58" cm="1">
        <f t="array" ref="X58">[1]!propssi("S","Q",1,"T",Y58,$W$1)/1000</f>
        <v>1.7545236844188457</v>
      </c>
      <c r="Y58">
        <v>328</v>
      </c>
      <c r="Z58" cm="1">
        <f t="array" ref="Z58">[1]!propssi("S","Q",0,"T",AB58,$Z$1)/1000</f>
        <v>1.2338091381388054</v>
      </c>
      <c r="AA58" cm="1">
        <f t="array" ref="AA58">[1]!propssi("S","Q",1,"T",AB58,$Z$1)/1000</f>
        <v>1.8009925328520646</v>
      </c>
      <c r="AB58">
        <v>328</v>
      </c>
      <c r="AC58" cm="1">
        <f t="array" ref="AC58">[1]!propssi("S","Q",0,"T",AE58,$AC$1)/1000</f>
        <v>1.223766636836829</v>
      </c>
      <c r="AD58" cm="1">
        <f t="array" ref="AD58">[1]!propssi("S","Q",1,"T",AE58,$AC$1)/1000</f>
        <v>1.6933819840650708</v>
      </c>
      <c r="AE58">
        <v>328</v>
      </c>
      <c r="AF58" cm="1">
        <f t="array" ref="AF58">[1]!propssi("S","Q",0,"T",AH58,$AF$1)/1000</f>
        <v>1.2404385615876299</v>
      </c>
      <c r="AG58" cm="1">
        <f t="array" ref="AG58">[1]!propssi("S","Q",1,"T",AH58,$AF$1)/1000</f>
        <v>1.7882948765842741</v>
      </c>
      <c r="AH58">
        <v>328</v>
      </c>
      <c r="AI58" cm="1">
        <f t="array" ref="AI58">[1]!propssi("S","Q",0,"T",AK58,$AI$1)/1000</f>
        <v>1.3098816667502564</v>
      </c>
      <c r="AJ58" cm="1">
        <f t="array" ref="AJ58">[1]!propssi("S","Q",1,"T",AK58,$AI$1)/1000</f>
        <v>1.8264123662239442</v>
      </c>
      <c r="AK58">
        <v>328</v>
      </c>
    </row>
    <row r="59" spans="23:37" x14ac:dyDescent="0.3">
      <c r="W59" cm="1">
        <f t="array" ref="W59">[1]!propssi("S","Q",0,"T",Y59,$W$1)/1000</f>
        <v>1.2266252596635954</v>
      </c>
      <c r="X59" cm="1">
        <f t="array" ref="X59">[1]!propssi("S","Q",1,"T",Y59,$W$1)/1000</f>
        <v>1.7549147924007877</v>
      </c>
      <c r="Y59">
        <v>329</v>
      </c>
      <c r="Z59" cm="1">
        <f t="array" ref="Z59">[1]!propssi("S","Q",0,"T",AB59,$Z$1)/1000</f>
        <v>1.2379592907261943</v>
      </c>
      <c r="AA59" cm="1">
        <f t="array" ref="AA59">[1]!propssi("S","Q",1,"T",AB59,$Z$1)/1000</f>
        <v>1.8011279859925959</v>
      </c>
      <c r="AB59">
        <v>329</v>
      </c>
      <c r="AC59" cm="1">
        <f t="array" ref="AC59">[1]!propssi("S","Q",0,"T",AE59,$AC$1)/1000</f>
        <v>1.2276684041287045</v>
      </c>
      <c r="AD59" cm="1">
        <f t="array" ref="AD59">[1]!propssi("S","Q",1,"T",AE59,$AC$1)/1000</f>
        <v>1.6942797603850659</v>
      </c>
      <c r="AE59">
        <v>329</v>
      </c>
      <c r="AF59" cm="1">
        <f t="array" ref="AF59">[1]!propssi("S","Q",0,"T",AH59,$AF$1)/1000</f>
        <v>1.2446866461117845</v>
      </c>
      <c r="AG59" cm="1">
        <f t="array" ref="AG59">[1]!propssi("S","Q",1,"T",AH59,$AF$1)/1000</f>
        <v>1.7883170056534079</v>
      </c>
      <c r="AH59">
        <v>329</v>
      </c>
      <c r="AI59" cm="1">
        <f t="array" ref="AI59">[1]!propssi("S","Q",0,"T",AK59,$AI$1)/1000</f>
        <v>1.313862900315705</v>
      </c>
      <c r="AJ59" cm="1">
        <f t="array" ref="AJ59">[1]!propssi("S","Q",1,"T",AK59,$AI$1)/1000</f>
        <v>1.8268663426739478</v>
      </c>
      <c r="AK59">
        <v>329</v>
      </c>
    </row>
    <row r="60" spans="23:37" x14ac:dyDescent="0.3">
      <c r="W60" cm="1">
        <f t="array" ref="W60">[1]!propssi("S","Q",0,"T",Y60,$W$1)/1000</f>
        <v>1.2304752453989167</v>
      </c>
      <c r="X60" cm="1">
        <f t="array" ref="X60">[1]!propssi("S","Q",1,"T",Y60,$W$1)/1000</f>
        <v>1.7553102266029692</v>
      </c>
      <c r="Y60">
        <v>330</v>
      </c>
      <c r="Z60" cm="1">
        <f t="array" ref="Z60">[1]!propssi("S","Q",0,"T",AB60,$Z$1)/1000</f>
        <v>1.242107024583182</v>
      </c>
      <c r="AA60" cm="1">
        <f t="array" ref="AA60">[1]!propssi("S","Q",1,"T",AB60,$Z$1)/1000</f>
        <v>1.8012677242929287</v>
      </c>
      <c r="AB60">
        <v>330</v>
      </c>
      <c r="AC60" cm="1">
        <f t="array" ref="AC60">[1]!propssi("S","Q",0,"T",AE60,$AC$1)/1000</f>
        <v>1.2315647641146279</v>
      </c>
      <c r="AD60" cm="1">
        <f t="array" ref="AD60">[1]!propssi("S","Q",1,"T",AE60,$AC$1)/1000</f>
        <v>1.695182168527577</v>
      </c>
      <c r="AE60">
        <v>330</v>
      </c>
      <c r="AF60" cm="1">
        <f t="array" ref="AF60">[1]!propssi("S","Q",0,"T",AH60,$AF$1)/1000</f>
        <v>1.2489322008620474</v>
      </c>
      <c r="AG60" cm="1">
        <f t="array" ref="AG60">[1]!propssi("S","Q",1,"T",AH60,$AF$1)/1000</f>
        <v>1.7883408750138077</v>
      </c>
      <c r="AH60">
        <v>330</v>
      </c>
      <c r="AI60" cm="1">
        <f t="array" ref="AI60">[1]!propssi("S","Q",0,"T",AK60,$AI$1)/1000</f>
        <v>1.3178399191675341</v>
      </c>
      <c r="AJ60" cm="1">
        <f t="array" ref="AJ60">[1]!propssi("S","Q",1,"T",AK60,$AI$1)/1000</f>
        <v>1.8273249331550179</v>
      </c>
      <c r="AK60">
        <v>330</v>
      </c>
    </row>
    <row r="61" spans="23:37" x14ac:dyDescent="0.3">
      <c r="W61" cm="1">
        <f t="array" ref="W61">[1]!propssi("S","Q",0,"T",Y61,$W$1)/1000</f>
        <v>1.2343195963944575</v>
      </c>
      <c r="X61" cm="1">
        <f t="array" ref="X61">[1]!propssi("S","Q",1,"T",Y61,$W$1)/1000</f>
        <v>1.7557098110682272</v>
      </c>
      <c r="Y61">
        <v>331</v>
      </c>
      <c r="Z61" cm="1">
        <f t="array" ref="Z61">[1]!propssi("S","Q",0,"T",AB61,$Z$1)/1000</f>
        <v>1.2462524353588489</v>
      </c>
      <c r="AA61" cm="1">
        <f t="array" ref="AA61">[1]!propssi("S","Q",1,"T",AB61,$Z$1)/1000</f>
        <v>1.8014115160329121</v>
      </c>
      <c r="AB61">
        <v>331</v>
      </c>
      <c r="AC61" cm="1">
        <f t="array" ref="AC61">[1]!propssi("S","Q",0,"T",AE61,$AC$1)/1000</f>
        <v>1.2354557721260584</v>
      </c>
      <c r="AD61" cm="1">
        <f t="array" ref="AD61">[1]!propssi("S","Q",1,"T",AE61,$AC$1)/1000</f>
        <v>1.6960890312197898</v>
      </c>
      <c r="AE61">
        <v>331</v>
      </c>
      <c r="AF61" cm="1">
        <f t="array" ref="AF61">[1]!propssi("S","Q",0,"T",AH61,$AF$1)/1000</f>
        <v>1.2531753700112871</v>
      </c>
      <c r="AG61" cm="1">
        <f t="array" ref="AG61">[1]!propssi("S","Q",1,"T",AH61,$AF$1)/1000</f>
        <v>1.7883661817483949</v>
      </c>
      <c r="AH61">
        <v>331</v>
      </c>
      <c r="AI61" cm="1">
        <f t="array" ref="AI61">[1]!propssi("S","Q",0,"T",AK61,$AI$1)/1000</f>
        <v>1.3218128072642474</v>
      </c>
      <c r="AJ61" cm="1">
        <f t="array" ref="AJ61">[1]!propssi("S","Q",1,"T",AK61,$AI$1)/1000</f>
        <v>1.827787926227729</v>
      </c>
      <c r="AK61">
        <v>331</v>
      </c>
    </row>
    <row r="62" spans="23:37" x14ac:dyDescent="0.3">
      <c r="W62" cm="1">
        <f t="array" ref="W62">[1]!propssi("S","Q",0,"T",Y62,$W$1)/1000</f>
        <v>1.2381584052350196</v>
      </c>
      <c r="X62" cm="1">
        <f t="array" ref="X62">[1]!propssi("S","Q",1,"T",Y62,$W$1)/1000</f>
        <v>1.7561133700860598</v>
      </c>
      <c r="Y62">
        <v>332</v>
      </c>
      <c r="Z62" cm="1">
        <f t="array" ref="Z62">[1]!propssi("S","Q",0,"T",AB62,$Z$1)/1000</f>
        <v>1.2503956202922966</v>
      </c>
      <c r="AA62" cm="1">
        <f t="array" ref="AA62">[1]!propssi("S","Q",1,"T",AB62,$Z$1)/1000</f>
        <v>1.8015591282817842</v>
      </c>
      <c r="AB62">
        <v>332</v>
      </c>
      <c r="AC62" cm="1">
        <f t="array" ref="AC62">[1]!propssi("S","Q",0,"T",AE62,$AC$1)/1000</f>
        <v>1.2393414840301045</v>
      </c>
      <c r="AD62" cm="1">
        <f t="array" ref="AD62">[1]!propssi("S","Q",1,"T",AE62,$AC$1)/1000</f>
        <v>1.6970001718799472</v>
      </c>
      <c r="AE62">
        <v>332</v>
      </c>
      <c r="AF62" cm="1">
        <f t="array" ref="AF62">[1]!propssi("S","Q",0,"T",AH62,$AF$1)/1000</f>
        <v>1.2574163004546239</v>
      </c>
      <c r="AG62" cm="1">
        <f t="array" ref="AG62">[1]!propssi("S","Q",1,"T",AH62,$AF$1)/1000</f>
        <v>1.7883926190714914</v>
      </c>
      <c r="AH62">
        <v>332</v>
      </c>
      <c r="AI62" cm="1">
        <f t="array" ref="AI62">[1]!propssi("S","Q",0,"T",AK62,$AI$1)/1000</f>
        <v>1.3257816496082921</v>
      </c>
      <c r="AJ62" cm="1">
        <f t="array" ref="AJ62">[1]!propssi("S","Q",1,"T",AK62,$AI$1)/1000</f>
        <v>1.8282551104150326</v>
      </c>
      <c r="AK62">
        <v>332</v>
      </c>
    </row>
    <row r="63" spans="23:37" x14ac:dyDescent="0.3">
      <c r="W63" cm="1">
        <f t="array" ref="W63">[1]!propssi("S","Q",0,"T",Y63,$W$1)/1000</f>
        <v>1.2419917652574359</v>
      </c>
      <c r="X63" cm="1">
        <f t="array" ref="X63">[1]!propssi("S","Q",1,"T",Y63,$W$1)/1000</f>
        <v>1.7565207280899944</v>
      </c>
      <c r="Y63">
        <v>333</v>
      </c>
      <c r="Z63" cm="1">
        <f t="array" ref="Z63">[1]!propssi("S","Q",0,"T",AB63,$Z$1)/1000</f>
        <v>1.2545366783112912</v>
      </c>
      <c r="AA63" cm="1">
        <f t="array" ref="AA63">[1]!propssi("S","Q",1,"T",AB63,$Z$1)/1000</f>
        <v>1.8017103267626977</v>
      </c>
      <c r="AB63">
        <v>333</v>
      </c>
      <c r="AC63" cm="1">
        <f t="array" ref="AC63">[1]!propssi("S","Q",0,"T",AE63,$AC$1)/1000</f>
        <v>1.2432219562534781</v>
      </c>
      <c r="AD63" cm="1">
        <f t="array" ref="AD63">[1]!propssi("S","Q",1,"T",AE63,$AC$1)/1000</f>
        <v>1.6979154145527078</v>
      </c>
      <c r="AE63">
        <v>333</v>
      </c>
      <c r="AF63" cm="1">
        <f t="array" ref="AF63">[1]!propssi("S","Q",0,"T",AH63,$AF$1)/1000</f>
        <v>1.2616551419679352</v>
      </c>
      <c r="AG63" cm="1">
        <f t="array" ref="AG63">[1]!propssi("S","Q",1,"T",AH63,$AF$1)/1000</f>
        <v>1.7884198760346073</v>
      </c>
      <c r="AH63">
        <v>333</v>
      </c>
      <c r="AI63" cm="1">
        <f t="array" ref="AI63">[1]!propssi("S","Q",0,"T",AK63,$AI$1)/1000</f>
        <v>1.3297465323033366</v>
      </c>
      <c r="AJ63" cm="1">
        <f t="array" ref="AJ63">[1]!propssi("S","Q",1,"T",AK63,$AI$1)/1000</f>
        <v>1.8287262740928709</v>
      </c>
      <c r="AK63">
        <v>333</v>
      </c>
    </row>
    <row r="64" spans="23:37" x14ac:dyDescent="0.3">
      <c r="W64" cm="1">
        <f t="array" ref="W64">[1]!propssi("S","Q",0,"T",Y64,$W$1)/1000</f>
        <v>1.2458197705907987</v>
      </c>
      <c r="X64" cm="1">
        <f t="array" ref="X64">[1]!propssi("S","Q",1,"T",Y64,$W$1)/1000</f>
        <v>1.75693170955347</v>
      </c>
      <c r="Y64">
        <v>334</v>
      </c>
      <c r="Z64" cm="1">
        <f t="array" ref="Z64">[1]!propssi("S","Q",0,"T",AB64,$Z$1)/1000</f>
        <v>1.2586757101348618</v>
      </c>
      <c r="AA64" cm="1">
        <f t="array" ref="AA64">[1]!propssi("S","Q",1,"T",AB64,$Z$1)/1000</f>
        <v>1.8018648757126776</v>
      </c>
      <c r="AB64">
        <v>334</v>
      </c>
      <c r="AC64" cm="1">
        <f t="array" ref="AC64">[1]!propssi("S","Q",0,"T",AE64,$AC$1)/1000</f>
        <v>1.2470972458072753</v>
      </c>
      <c r="AD64" cm="1">
        <f t="array" ref="AD64">[1]!propssi("S","Q",1,"T",AE64,$AC$1)/1000</f>
        <v>1.6988345838440688</v>
      </c>
      <c r="AE64">
        <v>334</v>
      </c>
      <c r="AF64" cm="1">
        <f t="array" ref="AF64">[1]!propssi("S","Q",0,"T",AH64,$AF$1)/1000</f>
        <v>1.265892047375438</v>
      </c>
      <c r="AG64" cm="1">
        <f t="array" ref="AG64">[1]!propssi("S","Q",1,"T",AH64,$AF$1)/1000</f>
        <v>1.7884476372169056</v>
      </c>
      <c r="AH64">
        <v>334</v>
      </c>
      <c r="AI64" cm="1">
        <f t="array" ref="AI64">[1]!propssi("S","Q",0,"T",AK64,$AI$1)/1000</f>
        <v>1.3337075426138234</v>
      </c>
      <c r="AJ64" cm="1">
        <f t="array" ref="AJ64">[1]!propssi("S","Q",1,"T",AK64,$AI$1)/1000</f>
        <v>1.8292012053757356</v>
      </c>
      <c r="AK64">
        <v>334</v>
      </c>
    </row>
    <row r="65" spans="23:37" x14ac:dyDescent="0.3">
      <c r="W65" cm="1">
        <f t="array" ref="W65">[1]!propssi("S","Q",0,"T",Y65,$W$1)/1000</f>
        <v>1.2496425161981703</v>
      </c>
      <c r="X65" cm="1">
        <f t="array" ref="X65">[1]!propssi("S","Q",1,"T",Y65,$W$1)/1000</f>
        <v>1.7573461388841234</v>
      </c>
      <c r="Y65">
        <v>335</v>
      </c>
      <c r="Z65" cm="1">
        <f t="array" ref="Z65">[1]!propssi("S","Q",0,"T",AB65,$Z$1)/1000</f>
        <v>1.2628128183801235</v>
      </c>
      <c r="AA65" cm="1">
        <f t="array" ref="AA65">[1]!propssi("S","Q",1,"T",AB65,$Z$1)/1000</f>
        <v>1.8020225377377324</v>
      </c>
      <c r="AB65">
        <v>335</v>
      </c>
      <c r="AC65" cm="1">
        <f t="array" ref="AC65">[1]!propssi("S","Q",0,"T",AE65,$AC$1)/1000</f>
        <v>1.250967410312676</v>
      </c>
      <c r="AD65" cm="1">
        <f t="array" ref="AD65">[1]!propssi("S","Q",1,"T",AE65,$AC$1)/1000</f>
        <v>1.6997575048557574</v>
      </c>
      <c r="AE65">
        <v>335</v>
      </c>
      <c r="AF65" cm="1">
        <f t="array" ref="AF65">[1]!propssi("S","Q",0,"T",AH65,$AF$1)/1000</f>
        <v>1.2701271727270611</v>
      </c>
      <c r="AG65" cm="1">
        <f t="array" ref="AG65">[1]!propssi("S","Q",1,"T",AH65,$AF$1)/1000</f>
        <v>1.7884755823991401</v>
      </c>
      <c r="AH65">
        <v>335</v>
      </c>
      <c r="AI65" cm="1">
        <f t="array" ref="AI65">[1]!propssi("S","Q",0,"T",AK65,$AI$1)/1000</f>
        <v>1.3376647690269201</v>
      </c>
      <c r="AJ65" cm="1">
        <f t="array" ref="AJ65">[1]!propssi("S","Q",1,"T",AK65,$AI$1)/1000</f>
        <v>1.829679692001992</v>
      </c>
      <c r="AK65">
        <v>335</v>
      </c>
    </row>
    <row r="66" spans="23:37" x14ac:dyDescent="0.3">
      <c r="W66" cm="1">
        <f t="array" ref="W66">[1]!propssi("S","Q",0,"T",Y66,$W$1)/1000</f>
        <v>1.253460097919872</v>
      </c>
      <c r="X66" cm="1">
        <f t="array" ref="X66">[1]!propssi("S","Q",1,"T",Y66,$W$1)/1000</f>
        <v>1.7577638403163134</v>
      </c>
      <c r="Y66">
        <v>336</v>
      </c>
      <c r="Z66" cm="1">
        <f t="array" ref="Z66">[1]!propssi("S","Q",0,"T",AB66,$Z$1)/1000</f>
        <v>1.2669481076735805</v>
      </c>
      <c r="AA66" cm="1">
        <f t="array" ref="AA66">[1]!propssi("S","Q",1,"T",AB66,$Z$1)/1000</f>
        <v>1.8021830736627429</v>
      </c>
      <c r="AB66">
        <v>336</v>
      </c>
      <c r="AC66" cm="1">
        <f t="array" ref="AC66">[1]!propssi("S","Q",0,"T",AE66,$AC$1)/1000</f>
        <v>1.2548325080275606</v>
      </c>
      <c r="AD66" cm="1">
        <f t="array" ref="AD66">[1]!propssi("S","Q",1,"T",AE66,$AC$1)/1000</f>
        <v>1.7006840031189545</v>
      </c>
      <c r="AE66">
        <v>336</v>
      </c>
      <c r="AF66" cm="1">
        <f t="array" ref="AF66">[1]!propssi("S","Q",0,"T",AH66,$AF$1)/1000</f>
        <v>1.2743606774863565</v>
      </c>
      <c r="AG66" cm="1">
        <f t="array" ref="AG66">[1]!propssi("S","Q",1,"T",AH66,$AF$1)/1000</f>
        <v>1.788503386219797</v>
      </c>
      <c r="AH66">
        <v>336</v>
      </c>
      <c r="AI66" cm="1">
        <f t="array" ref="AI66">[1]!propssi("S","Q",0,"T",AK66,$AI$1)/1000</f>
        <v>1.3416183013170409</v>
      </c>
      <c r="AJ66" cm="1">
        <f t="array" ref="AJ66">[1]!propssi("S","Q",1,"T",AK66,$AI$1)/1000</f>
        <v>1.8301615212146536</v>
      </c>
      <c r="AK66">
        <v>336</v>
      </c>
    </row>
    <row r="67" spans="23:37" x14ac:dyDescent="0.3">
      <c r="W67" cm="1">
        <f t="array" ref="W67">[1]!propssi("S","Q",0,"T",Y67,$W$1)/1000</f>
        <v>1.2572726125184119</v>
      </c>
      <c r="X67" cm="1">
        <f t="array" ref="X67">[1]!propssi("S","Q",1,"T",Y67,$W$1)/1000</f>
        <v>1.7581846378017356</v>
      </c>
      <c r="Y67">
        <v>337</v>
      </c>
      <c r="Z67" cm="1">
        <f t="array" ref="Z67">[1]!propssi("S","Q",0,"T",AB67,$Z$1)/1000</f>
        <v>1.271081684767166</v>
      </c>
      <c r="AA67" cm="1">
        <f t="array" ref="AA67">[1]!propssi("S","Q",1,"T",AB67,$Z$1)/1000</f>
        <v>1.8023462423756578</v>
      </c>
      <c r="AB67">
        <v>337</v>
      </c>
      <c r="AC67" cm="1">
        <f t="array" ref="AC67">[1]!propssi("S","Q",0,"T",AE67,$AC$1)/1000</f>
        <v>1.2586925978741412</v>
      </c>
      <c r="AD67" cm="1">
        <f t="array" ref="AD67">[1]!propssi("S","Q",1,"T",AE67,$AC$1)/1000</f>
        <v>1.7016139045272534</v>
      </c>
      <c r="AE67">
        <v>337</v>
      </c>
      <c r="AF67" cm="1">
        <f t="array" ref="AF67">[1]!propssi("S","Q",0,"T",AH67,$AF$1)/1000</f>
        <v>1.2785927247298214</v>
      </c>
      <c r="AG67" cm="1">
        <f t="array" ref="AG67">[1]!propssi("S","Q",1,"T",AH67,$AF$1)/1000</f>
        <v>1.7885307178120151</v>
      </c>
      <c r="AH67">
        <v>337</v>
      </c>
      <c r="AI67" cm="1">
        <f t="array" ref="AI67">[1]!propssi("S","Q",0,"T",AK67,$AI$1)/1000</f>
        <v>1.3455682306130583</v>
      </c>
      <c r="AJ67" cm="1">
        <f t="array" ref="AJ67">[1]!propssi("S","Q",1,"T",AK67,$AI$1)/1000</f>
        <v>1.8306464796405166</v>
      </c>
      <c r="AK67">
        <v>337</v>
      </c>
    </row>
    <row r="68" spans="23:37" x14ac:dyDescent="0.3">
      <c r="W68" cm="1">
        <f t="array" ref="W68">[1]!propssi("S","Q",0,"T",Y68,$W$1)/1000</f>
        <v>1.2610801577251685</v>
      </c>
      <c r="X68" cm="1">
        <f t="array" ref="X68">[1]!propssi("S","Q",1,"T",Y68,$W$1)/1000</f>
        <v>1.7586083548979556</v>
      </c>
      <c r="Y68">
        <v>338</v>
      </c>
      <c r="Z68" cm="1">
        <f t="array" ref="Z68">[1]!propssi("S","Q",0,"T",AB68,$Z$1)/1000</f>
        <v>1.2752136586593468</v>
      </c>
      <c r="AA68" cm="1">
        <f t="array" ref="AA68">[1]!propssi("S","Q",1,"T",AB68,$Z$1)/1000</f>
        <v>1.8025118006656378</v>
      </c>
      <c r="AB68">
        <v>338</v>
      </c>
      <c r="AC68" cm="1">
        <f t="array" ref="AC68">[1]!propssi("S","Q",0,"T",AE68,$AC$1)/1000</f>
        <v>1.2625477394676612</v>
      </c>
      <c r="AD68" cm="1">
        <f t="array" ref="AD68">[1]!propssi("S","Q",1,"T",AE68,$AC$1)/1000</f>
        <v>1.7025470352687682</v>
      </c>
      <c r="AE68">
        <v>338</v>
      </c>
      <c r="AF68" cm="1">
        <f t="array" ref="AF68">[1]!propssi("S","Q",0,"T",AH68,$AF$1)/1000</f>
        <v>1.2828234813584887</v>
      </c>
      <c r="AG68" cm="1">
        <f t="array" ref="AG68">[1]!propssi("S","Q",1,"T",AH68,$AF$1)/1000</f>
        <v>1.7885572404197461</v>
      </c>
      <c r="AH68">
        <v>338</v>
      </c>
      <c r="AI68" cm="1">
        <f t="array" ref="AI68">[1]!propssi("S","Q",0,"T",AK68,$AI$1)/1000</f>
        <v>1.3495146494683938</v>
      </c>
      <c r="AJ68" cm="1">
        <f t="array" ref="AJ68">[1]!propssi("S","Q",1,"T",AK68,$AI$1)/1000</f>
        <v>1.8311343531639996</v>
      </c>
      <c r="AK68">
        <v>338</v>
      </c>
    </row>
    <row r="69" spans="23:37" x14ac:dyDescent="0.3">
      <c r="W69" cm="1">
        <f t="array" ref="W69">[1]!propssi("S","Q",0,"T",Y69,$W$1)/1000</f>
        <v>1.2648828322888912</v>
      </c>
      <c r="X69" cm="1">
        <f t="array" ref="X69">[1]!propssi("S","Q",1,"T",Y69,$W$1)/1000</f>
        <v>1.7590348146546844</v>
      </c>
      <c r="Y69">
        <v>339</v>
      </c>
      <c r="Z69" cm="1">
        <f t="array" ref="Z69">[1]!propssi("S","Q",0,"T",AB69,$Z$1)/1000</f>
        <v>1.2793441407216029</v>
      </c>
      <c r="AA69" cm="1">
        <f t="array" ref="AA69">[1]!propssi("S","Q",1,"T",AB69,$Z$1)/1000</f>
        <v>1.8026795030546461</v>
      </c>
      <c r="AB69">
        <v>339</v>
      </c>
      <c r="AC69" cm="1">
        <f t="array" ref="AC69">[1]!propssi("S","Q",0,"T",AE69,$AC$1)/1000</f>
        <v>1.2663979931461946</v>
      </c>
      <c r="AD69" cm="1">
        <f t="array" ref="AD69">[1]!propssi("S","Q",1,"T",AE69,$AC$1)/1000</f>
        <v>1.7034832217571811</v>
      </c>
      <c r="AE69">
        <v>339</v>
      </c>
      <c r="AF69" cm="1">
        <f t="array" ref="AF69">[1]!propssi("S","Q",0,"T",AH69,$AF$1)/1000</f>
        <v>1.2870531183228235</v>
      </c>
      <c r="AG69" cm="1">
        <f t="array" ref="AG69">[1]!propssi("S","Q",1,"T",AH69,$AF$1)/1000</f>
        <v>1.7885826109914917</v>
      </c>
      <c r="AH69">
        <v>339</v>
      </c>
      <c r="AI69" cm="1">
        <f t="array" ref="AI69">[1]!propssi("S","Q",0,"T",AK69,$AI$1)/1000</f>
        <v>1.3534576519341595</v>
      </c>
      <c r="AJ69" cm="1">
        <f t="array" ref="AJ69">[1]!propssi("S","Q",1,"T",AK69,$AI$1)/1000</f>
        <v>1.8316249267992053</v>
      </c>
      <c r="AK69">
        <v>339</v>
      </c>
    </row>
    <row r="70" spans="23:37" x14ac:dyDescent="0.3">
      <c r="W70" cm="1">
        <f t="array" ref="W70">[1]!propssi("S","Q",0,"T",Y70,$W$1)/1000</f>
        <v>1.2686807360261754</v>
      </c>
      <c r="X70" cm="1">
        <f t="array" ref="X70">[1]!propssi("S","Q",1,"T",Y70,$W$1)/1000</f>
        <v>1.7594638394976234</v>
      </c>
      <c r="Y70">
        <v>340</v>
      </c>
      <c r="Z70" cm="1">
        <f t="array" ref="Z70">[1]!propssi("S","Q",0,"T",AB70,$Z$1)/1000</f>
        <v>1.2834732448306192</v>
      </c>
      <c r="AA70" cm="1">
        <f t="array" ref="AA70">[1]!propssi("S","Q",1,"T",AB70,$Z$1)/1000</f>
        <v>1.8028491016219799</v>
      </c>
      <c r="AB70">
        <v>340</v>
      </c>
      <c r="AC70" cm="1">
        <f t="array" ref="AC70">[1]!propssi("S","Q",0,"T",AE70,$AC$1)/1000</f>
        <v>1.2702434200016584</v>
      </c>
      <c r="AD70" cm="1">
        <f t="array" ref="AD70">[1]!propssi("S","Q",1,"T",AE70,$AC$1)/1000</f>
        <v>1.704422290561689</v>
      </c>
      <c r="AE70">
        <v>340</v>
      </c>
      <c r="AF70" cm="1">
        <f t="array" ref="AF70">[1]!propssi("S","Q",0,"T",AH70,$AF$1)/1000</f>
        <v>1.291281810861985</v>
      </c>
      <c r="AG70" cm="1">
        <f t="array" ref="AG70">[1]!propssi("S","Q",1,"T",AH70,$AF$1)/1000</f>
        <v>1.788606479749796</v>
      </c>
      <c r="AH70">
        <v>340</v>
      </c>
      <c r="AI70" cm="1">
        <f t="array" ref="AI70">[1]!propssi("S","Q",0,"T",AK70,$AI$1)/1000</f>
        <v>1.3573973336355345</v>
      </c>
      <c r="AJ70" cm="1">
        <f t="array" ref="AJ70">[1]!propssi("S","Q",1,"T",AK70,$AI$1)/1000</f>
        <v>1.8321179845566116</v>
      </c>
      <c r="AK70">
        <v>340</v>
      </c>
    </row>
    <row r="71" spans="23:37" x14ac:dyDescent="0.3">
      <c r="W71" cm="1">
        <f t="array" ref="W71">[1]!propssi("S","Q",0,"T",Y71,$W$1)/1000</f>
        <v>1.2724739698739582</v>
      </c>
      <c r="X71" cm="1">
        <f t="array" ref="X71">[1]!propssi("S","Q",1,"T",Y71,$W$1)/1000</f>
        <v>1.7598952511096366</v>
      </c>
      <c r="Y71">
        <v>341</v>
      </c>
      <c r="Z71" cm="1">
        <f t="array" ref="Z71">[1]!propssi("S","Q",0,"T",AB71,$Z$1)/1000</f>
        <v>1.2876010875065846</v>
      </c>
      <c r="AA71" cm="1">
        <f t="array" ref="AA71">[1]!propssi("S","Q",1,"T",AB71,$Z$1)/1000</f>
        <v>1.8030203458212108</v>
      </c>
      <c r="AB71">
        <v>341</v>
      </c>
      <c r="AC71" cm="1">
        <f t="array" ref="AC71">[1]!propssi("S","Q",0,"T",AE71,$AC$1)/1000</f>
        <v>1.2740840819120558</v>
      </c>
      <c r="AD71" cm="1">
        <f t="array" ref="AD71">[1]!propssi("S","Q",1,"T",AE71,$AC$1)/1000</f>
        <v>1.705364068335655</v>
      </c>
      <c r="AE71">
        <v>341</v>
      </c>
      <c r="AF71" cm="1">
        <f t="array" ref="AF71">[1]!propssi("S","Q",0,"T",AH71,$AF$1)/1000</f>
        <v>1.2955097387586763</v>
      </c>
      <c r="AG71" cm="1">
        <f t="array" ref="AG71">[1]!propssi("S","Q",1,"T",AH71,$AF$1)/1000</f>
        <v>1.7886284897344915</v>
      </c>
      <c r="AH71">
        <v>341</v>
      </c>
      <c r="AI71" cm="1">
        <f t="array" ref="AI71">[1]!propssi("S","Q",0,"T",AK71,$AI$1)/1000</f>
        <v>1.3613337918515829</v>
      </c>
      <c r="AJ71" cm="1">
        <f t="array" ref="AJ71">[1]!propssi("S","Q",1,"T",AK71,$AI$1)/1000</f>
        <v>1.8326133093063921</v>
      </c>
      <c r="AK71">
        <v>341</v>
      </c>
    </row>
    <row r="72" spans="23:37" x14ac:dyDescent="0.3">
      <c r="W72" cm="1">
        <f t="array" ref="W72">[1]!propssi("S","Q",0,"T",Y72,$W$1)/1000</f>
        <v>1.276262635944196</v>
      </c>
      <c r="X72" cm="1">
        <f t="array" ref="X72">[1]!propssi("S","Q",1,"T",Y72,$W$1)/1000</f>
        <v>1.7603288703090998</v>
      </c>
      <c r="Y72">
        <v>342</v>
      </c>
      <c r="Z72" cm="1">
        <f t="array" ref="Z72">[1]!propssi("S","Q",0,"T",AB72,$Z$1)/1000</f>
        <v>1.2917277880579654</v>
      </c>
      <c r="AA72" cm="1">
        <f t="array" ref="AA72">[1]!propssi("S","Q",1,"T",AB72,$Z$1)/1000</f>
        <v>1.8031929822889554</v>
      </c>
      <c r="AB72">
        <v>342</v>
      </c>
      <c r="AC72" cm="1">
        <f t="array" ref="AC72">[1]!propssi("S","Q",0,"T",AE72,$AC$1)/1000</f>
        <v>1.2779200415750789</v>
      </c>
      <c r="AD72" cm="1">
        <f t="array" ref="AD72">[1]!propssi("S","Q",1,"T",AE72,$AC$1)/1000</f>
        <v>1.7063083817438551</v>
      </c>
      <c r="AE72">
        <v>342</v>
      </c>
      <c r="AF72" cm="1">
        <f t="array" ref="AF72">[1]!propssi("S","Q",0,"T",AH72,$AF$1)/1000</f>
        <v>1.2997370866108715</v>
      </c>
      <c r="AG72" cm="1">
        <f t="array" ref="AG72">[1]!propssi("S","Q",1,"T",AH72,$AF$1)/1000</f>
        <v>1.7886482763175129</v>
      </c>
      <c r="AH72">
        <v>342</v>
      </c>
      <c r="AI72" cm="1">
        <f t="array" ref="AI72">[1]!propssi("S","Q",0,"T",AK72,$AI$1)/1000</f>
        <v>1.3652671255987279</v>
      </c>
      <c r="AJ72" cm="1">
        <f t="array" ref="AJ72">[1]!propssi("S","Q",1,"T",AK72,$AI$1)/1000</f>
        <v>1.8331106826364727</v>
      </c>
      <c r="AK72">
        <v>342</v>
      </c>
    </row>
    <row r="73" spans="23:37" x14ac:dyDescent="0.3">
      <c r="W73" cm="1">
        <f t="array" ref="W73">[1]!propssi("S","Q",0,"T",Y73,$W$1)/1000</f>
        <v>1.2800468375808449</v>
      </c>
      <c r="X73" cm="1">
        <f t="array" ref="X73">[1]!propssi("S","Q",1,"T",Y73,$W$1)/1000</f>
        <v>1.7607645169251565</v>
      </c>
      <c r="Y73">
        <v>343</v>
      </c>
      <c r="Z73" cm="1">
        <f t="array" ref="Z73">[1]!propssi("S","Q",0,"T",AB73,$Z$1)/1000</f>
        <v>1.2958534687332248</v>
      </c>
      <c r="AA73" cm="1">
        <f t="array" ref="AA73">[1]!propssi("S","Q",1,"T",AB73,$Z$1)/1000</f>
        <v>1.8033667546448138</v>
      </c>
      <c r="AB73">
        <v>343</v>
      </c>
      <c r="AC73" cm="1">
        <f t="array" ref="AC73">[1]!propssi("S","Q",0,"T",AE73,$AC$1)/1000</f>
        <v>1.2817513625430992</v>
      </c>
      <c r="AD73" cm="1">
        <f t="array" ref="AD73">[1]!propssi("S","Q",1,"T",AE73,$AC$1)/1000</f>
        <v>1.7072550573881493</v>
      </c>
      <c r="AE73">
        <v>343</v>
      </c>
      <c r="AF73" cm="1">
        <f t="array" ref="AF73">[1]!propssi("S","Q",0,"T",AH73,$AF$1)/1000</f>
        <v>1.3039640441218592</v>
      </c>
      <c r="AG73" cm="1">
        <f t="array" ref="AG73">[1]!propssi("S","Q",1,"T",AH73,$AF$1)/1000</f>
        <v>1.7886654666869104</v>
      </c>
      <c r="AH73">
        <v>343</v>
      </c>
      <c r="AI73" cm="1">
        <f t="array" ref="AI73">[1]!propssi("S","Q",0,"T",AK73,$AI$1)/1000</f>
        <v>1.3691974357181291</v>
      </c>
      <c r="AJ73" cm="1">
        <f t="array" ref="AJ73">[1]!propssi("S","Q",1,"T",AK73,$AI$1)/1000</f>
        <v>1.8336098847059066</v>
      </c>
      <c r="AK73">
        <v>343</v>
      </c>
    </row>
    <row r="74" spans="23:37" x14ac:dyDescent="0.3">
      <c r="W74" cm="1">
        <f t="array" ref="W74">[1]!propssi("S","Q",0,"T",Y74,$W$1)/1000</f>
        <v>1.2838266794192421</v>
      </c>
      <c r="X74" cm="1">
        <f t="array" ref="X74">[1]!propssi("S","Q",1,"T",Y74,$W$1)/1000</f>
        <v>1.7612020096696366</v>
      </c>
      <c r="Y74">
        <v>344</v>
      </c>
      <c r="Z74" cm="1">
        <f t="array" ref="Z74">[1]!propssi("S","Q",0,"T",AB74,$Z$1)/1000</f>
        <v>1.2999782548799286</v>
      </c>
      <c r="AA74" cm="1">
        <f t="array" ref="AA74">[1]!propssi("S","Q",1,"T",AB74,$Z$1)/1000</f>
        <v>1.8035414032818364</v>
      </c>
      <c r="AB74">
        <v>344</v>
      </c>
      <c r="AC74" cm="1">
        <f t="array" ref="AC74">[1]!propssi("S","Q",0,"T",AE74,$AC$1)/1000</f>
        <v>1.285578109259677</v>
      </c>
      <c r="AD74" cm="1">
        <f t="array" ref="AD74">[1]!propssi("S","Q",1,"T",AE74,$AC$1)/1000</f>
        <v>1.7082039217314593</v>
      </c>
      <c r="AE74">
        <v>344</v>
      </c>
      <c r="AF74" cm="1">
        <f t="array" ref="AF74">[1]!propssi("S","Q",0,"T",AH74,$AF$1)/1000</f>
        <v>1.308190806410207</v>
      </c>
      <c r="AG74" cm="1">
        <f t="array" ref="AG74">[1]!propssi("S","Q",1,"T",AH74,$AF$1)/1000</f>
        <v>1.7886796792974062</v>
      </c>
      <c r="AH74">
        <v>344</v>
      </c>
      <c r="AI74" cm="1">
        <f t="array" ref="AI74">[1]!propssi("S","Q",0,"T",AK74,$AI$1)/1000</f>
        <v>1.3731248249671812</v>
      </c>
      <c r="AJ74" cm="1">
        <f t="array" ref="AJ74">[1]!propssi("S","Q",1,"T",AK74,$AI$1)/1000</f>
        <v>1.8341106940929532</v>
      </c>
      <c r="AK74">
        <v>344</v>
      </c>
    </row>
    <row r="75" spans="23:37" x14ac:dyDescent="0.3">
      <c r="W75" cm="1">
        <f t="array" ref="W75">[1]!propssi("S","Q",0,"T",Y75,$W$1)/1000</f>
        <v>1.2876022674480709</v>
      </c>
      <c r="X75" cm="1">
        <f t="array" ref="X75">[1]!propssi("S","Q",1,"T",Y75,$W$1)/1000</f>
        <v>1.7616411660054216</v>
      </c>
      <c r="Y75">
        <v>345</v>
      </c>
      <c r="Z75" cm="1">
        <f t="array" ref="Z75">[1]!propssi("S","Q",0,"T",AB75,$Z$1)/1000</f>
        <v>1.3041022751117388</v>
      </c>
      <c r="AA75" cm="1">
        <f t="array" ref="AA75">[1]!propssi("S","Q",1,"T",AB75,$Z$1)/1000</f>
        <v>1.8037166651467591</v>
      </c>
      <c r="AB75">
        <v>345</v>
      </c>
      <c r="AC75" cm="1">
        <f t="array" ref="AC75">[1]!propssi("S","Q",0,"T",AE75,$AC$1)/1000</f>
        <v>1.2894003470976378</v>
      </c>
      <c r="AD75" cm="1">
        <f t="array" ref="AD75">[1]!propssi("S","Q",1,"T",AE75,$AC$1)/1000</f>
        <v>1.7091548010198139</v>
      </c>
      <c r="AE75">
        <v>345</v>
      </c>
      <c r="AF75" cm="1">
        <f t="array" ref="AF75">[1]!propssi("S","Q",0,"T",AH75,$AF$1)/1000</f>
        <v>1.3124175743413831</v>
      </c>
      <c r="AG75" cm="1">
        <f t="array" ref="AG75">[1]!propssi("S","Q",1,"T",AH75,$AF$1)/1000</f>
        <v>1.7886905232846479</v>
      </c>
      <c r="AH75">
        <v>345</v>
      </c>
      <c r="AI75" cm="1">
        <f t="array" ref="AI75">[1]!propssi("S","Q",0,"T",AK75,$AI$1)/1000</f>
        <v>1.3770493981154432</v>
      </c>
      <c r="AJ75" cm="1">
        <f t="array" ref="AJ75">[1]!propssi("S","Q",1,"T",AK75,$AI$1)/1000</f>
        <v>1.8346128876369834</v>
      </c>
      <c r="AK75">
        <v>345</v>
      </c>
    </row>
    <row r="76" spans="23:37" x14ac:dyDescent="0.3">
      <c r="W76" cm="1">
        <f t="array" ref="W76">[1]!propssi("S","Q",0,"T",Y76,$W$1)/1000</f>
        <v>1.2913737090740509</v>
      </c>
      <c r="X76" cm="1">
        <f t="array" ref="X76">[1]!propssi("S","Q",1,"T",Y76,$W$1)/1000</f>
        <v>1.7620818020109525</v>
      </c>
      <c r="Y76">
        <v>346</v>
      </c>
      <c r="Z76" cm="1">
        <f t="array" ref="Z76">[1]!propssi("S","Q",0,"T",AB76,$Z$1)/1000</f>
        <v>1.3082256614838801</v>
      </c>
      <c r="AA76" cm="1">
        <f t="array" ref="AA76">[1]!propssi("S","Q",1,"T",AB76,$Z$1)/1000</f>
        <v>1.8038922735092091</v>
      </c>
      <c r="AB76">
        <v>346</v>
      </c>
      <c r="AC76" cm="1">
        <f t="array" ref="AC76">[1]!propssi("S","Q",0,"T",AE76,$AC$1)/1000</f>
        <v>1.2932181423988507</v>
      </c>
      <c r="AD76" cm="1">
        <f t="array" ref="AD76">[1]!propssi("S","Q",1,"T",AE76,$AC$1)/1000</f>
        <v>1.7101075212024159</v>
      </c>
      <c r="AE76">
        <v>346</v>
      </c>
      <c r="AF76" cm="1">
        <f t="array" ref="AF76">[1]!propssi("S","Q",0,"T",AH76,$AF$1)/1000</f>
        <v>1.3166445548829542</v>
      </c>
      <c r="AG76" cm="1">
        <f t="array" ref="AG76">[1]!propssi("S","Q",1,"T",AH76,$AF$1)/1000</f>
        <v>1.7886975978399491</v>
      </c>
      <c r="AH76">
        <v>346</v>
      </c>
      <c r="AI76" cm="1">
        <f t="array" ref="AI76">[1]!propssi("S","Q",0,"T",AK76,$AI$1)/1000</f>
        <v>1.3809712620452625</v>
      </c>
      <c r="AJ76" cm="1">
        <f t="array" ref="AJ76">[1]!propssi("S","Q",1,"T",AK76,$AI$1)/1000</f>
        <v>1.8351162402748697</v>
      </c>
      <c r="AK76">
        <v>346</v>
      </c>
    </row>
    <row r="77" spans="23:37" x14ac:dyDescent="0.3">
      <c r="W77" cm="1">
        <f t="array" ref="W77">[1]!propssi("S","Q",0,"T",Y77,$W$1)/1000</f>
        <v>1.295141113189485</v>
      </c>
      <c r="X77" cm="1">
        <f t="array" ref="X77">[1]!propssi("S","Q",1,"T",Y77,$W$1)/1000</f>
        <v>1.7625237322405878</v>
      </c>
      <c r="Y77">
        <v>347</v>
      </c>
      <c r="Z77" cm="1">
        <f t="array" ref="Z77">[1]!propssi("S","Q",0,"T",AB77,$Z$1)/1000</f>
        <v>1.3123485496776166</v>
      </c>
      <c r="AA77" cm="1">
        <f t="array" ref="AA77">[1]!propssi("S","Q",1,"T",AB77,$Z$1)/1000</f>
        <v>1.8040679577190188</v>
      </c>
      <c r="AB77">
        <v>347</v>
      </c>
      <c r="AC77" cm="1">
        <f t="array" ref="AC77">[1]!propssi("S","Q",0,"T",AE77,$AC$1)/1000</f>
        <v>1.2970315625157733</v>
      </c>
      <c r="AD77" cm="1">
        <f t="array" ref="AD77">[1]!propssi("S","Q",1,"T",AE77,$AC$1)/1000</f>
        <v>1.7110619078494105</v>
      </c>
      <c r="AE77">
        <v>347</v>
      </c>
      <c r="AF77" cm="1">
        <f t="array" ref="AF77">[1]!propssi("S","Q",0,"T",AH77,$AF$1)/1000</f>
        <v>1.3208719614855138</v>
      </c>
      <c r="AG77" cm="1">
        <f t="array" ref="AG77">[1]!propssi("S","Q",1,"T",AH77,$AF$1)/1000</f>
        <v>1.7887004915420739</v>
      </c>
      <c r="AH77">
        <v>347</v>
      </c>
      <c r="AI77" cm="1">
        <f t="array" ref="AI77">[1]!propssi("S","Q",0,"T",AK77,$AI$1)/1000</f>
        <v>1.3848905258574173</v>
      </c>
      <c r="AJ77" cm="1">
        <f t="array" ref="AJ77">[1]!propssi("S","Q",1,"T",AK77,$AI$1)/1000</f>
        <v>1.835620693268267</v>
      </c>
      <c r="AK77">
        <v>347</v>
      </c>
    </row>
    <row r="78" spans="23:37" x14ac:dyDescent="0.3">
      <c r="W78" cm="1">
        <f t="array" ref="W78">[1]!propssi("S","Q",0,"T",Y78,$W$1)/1000</f>
        <v>1.2989045902428917</v>
      </c>
      <c r="X78" cm="1">
        <f t="array" ref="X78">[1]!propssi("S","Q",1,"T",Y78,$W$1)/1000</f>
        <v>1.7629667695805267</v>
      </c>
      <c r="Y78">
        <v>348</v>
      </c>
      <c r="Z78" cm="1">
        <f t="array" ref="Z78">[1]!propssi("S","Q",0,"T",AB78,$Z$1)/1000</f>
        <v>1.3164710791944119</v>
      </c>
      <c r="AA78" cm="1">
        <f t="array" ref="AA78">[1]!propssi("S","Q",1,"T",AB78,$Z$1)/1000</f>
        <v>1.8042434429507204</v>
      </c>
      <c r="AB78">
        <v>348</v>
      </c>
      <c r="AC78" cm="1">
        <f t="array" ref="AC78">[1]!propssi("S","Q",0,"T",AE78,$AC$1)/1000</f>
        <v>1.300840675854914</v>
      </c>
      <c r="AD78" cm="1">
        <f t="array" ref="AD78">[1]!propssi("S","Q",1,"T",AE78,$AC$1)/1000</f>
        <v>1.7120177860672829</v>
      </c>
      <c r="AE78">
        <v>348</v>
      </c>
      <c r="AF78" cm="1">
        <f t="array" ref="AF78">[1]!propssi("S","Q",0,"T",AH78,$AF$1)/1000</f>
        <v>1.3251000144916725</v>
      </c>
      <c r="AG78" cm="1">
        <f t="array" ref="AG78">[1]!propssi("S","Q",1,"T",AH78,$AF$1)/1000</f>
        <v>1.7886987816421402</v>
      </c>
      <c r="AH78">
        <v>348</v>
      </c>
      <c r="AI78" cm="1">
        <f t="array" ref="AI78">[1]!propssi("S","Q",0,"T",AK78,$AI$1)/1000</f>
        <v>1.3888073009821034</v>
      </c>
      <c r="AJ78" cm="1">
        <f t="array" ref="AJ78">[1]!propssi("S","Q",1,"T",AK78,$AI$1)/1000</f>
        <v>1.8361255120322308</v>
      </c>
      <c r="AK78">
        <v>348</v>
      </c>
    </row>
    <row r="79" spans="23:37" x14ac:dyDescent="0.3">
      <c r="W79" cm="1">
        <f t="array" ref="W79">[1]!propssi("S","Q",0,"T",Y79,$W$1)/1000</f>
        <v>1.3026642523128524</v>
      </c>
      <c r="X79" cm="1">
        <f t="array" ref="X79">[1]!propssi("S","Q",1,"T",Y79,$W$1)/1000</f>
        <v>1.7634107250999391</v>
      </c>
      <c r="Y79">
        <v>349</v>
      </c>
      <c r="Z79" cm="1">
        <f t="array" ref="Z79">[1]!propssi("S","Q",0,"T",AB79,$Z$1)/1000</f>
        <v>1.3205933935604801</v>
      </c>
      <c r="AA79" cm="1">
        <f t="array" ref="AA79">[1]!propssi("S","Q",1,"T",AB79,$Z$1)/1000</f>
        <v>1.8044184499341924</v>
      </c>
      <c r="AB79">
        <v>349</v>
      </c>
      <c r="AC79" cm="1">
        <f t="array" ref="AC79">[1]!propssi("S","Q",0,"T",AE79,$AC$1)/1000</f>
        <v>1.304645551922283</v>
      </c>
      <c r="AD79" cm="1">
        <f t="array" ref="AD79">[1]!propssi("S","Q",1,"T",AE79,$AC$1)/1000</f>
        <v>1.7129749804115992</v>
      </c>
      <c r="AE79">
        <v>349</v>
      </c>
      <c r="AF79" cm="1">
        <f t="array" ref="AF79">[1]!propssi("S","Q",0,"T",AH79,$AF$1)/1000</f>
        <v>1.3293289415757501</v>
      </c>
      <c r="AG79" cm="1">
        <f t="array" ref="AG79">[1]!propssi("S","Q",1,"T",AH79,$AF$1)/1000</f>
        <v>1.7886920332974416</v>
      </c>
      <c r="AH79">
        <v>349</v>
      </c>
      <c r="AI79" cm="1">
        <f t="array" ref="AI79">[1]!propssi("S","Q",0,"T",AK79,$AI$1)/1000</f>
        <v>1.3927217012956528</v>
      </c>
      <c r="AJ79" cm="1">
        <f t="array" ref="AJ79">[1]!propssi("S","Q",1,"T",AK79,$AI$1)/1000</f>
        <v>1.8366309699373096</v>
      </c>
      <c r="AK79">
        <v>349</v>
      </c>
    </row>
    <row r="80" spans="23:37" x14ac:dyDescent="0.3">
      <c r="W80" cm="1">
        <f t="array" ref="W80">[1]!propssi("S","Q",0,"T",Y80,$W$1)/1000</f>
        <v>1.3064202131853251</v>
      </c>
      <c r="X80" cm="1">
        <f t="array" ref="X80">[1]!propssi("S","Q",1,"T",Y80,$W$1)/1000</f>
        <v>1.7638554078969617</v>
      </c>
      <c r="Y80">
        <v>350</v>
      </c>
      <c r="Z80" cm="1">
        <f t="array" ref="Z80">[1]!propssi("S","Q",0,"T",AB80,$Z$1)/1000</f>
        <v>1.3247156405424407</v>
      </c>
      <c r="AA80" cm="1">
        <f t="array" ref="AA80">[1]!propssi("S","Q",1,"T",AB80,$Z$1)/1000</f>
        <v>1.8045926946703488</v>
      </c>
      <c r="AB80">
        <v>350</v>
      </c>
      <c r="AC80" cm="1">
        <f t="array" ref="AC80">[1]!propssi("S","Q",0,"T",AE80,$AC$1)/1000</f>
        <v>1.308446261370998</v>
      </c>
      <c r="AD80" cm="1">
        <f t="array" ref="AD80">[1]!propssi("S","Q",1,"T",AE80,$AC$1)/1000</f>
        <v>1.7139333147969542</v>
      </c>
      <c r="AE80">
        <v>350</v>
      </c>
      <c r="AF80" cm="1">
        <f t="array" ref="AF80">[1]!propssi("S","Q",0,"T",AH80,$AF$1)/1000</f>
        <v>1.3335589782170605</v>
      </c>
      <c r="AG80" cm="1">
        <f t="array" ref="AG80">[1]!propssi("S","Q",1,"T",AH80,$AF$1)/1000</f>
        <v>1.7886797987494301</v>
      </c>
      <c r="AH80">
        <v>350</v>
      </c>
      <c r="AI80" cm="1">
        <f t="array" ref="AI80">[1]!propssi("S","Q",0,"T",AK80,$AI$1)/1000</f>
        <v>1.3966338432433467</v>
      </c>
      <c r="AJ80" cm="1">
        <f t="array" ref="AJ80">[1]!propssi("S","Q",1,"T",AK80,$AI$1)/1000</f>
        <v>1.8371367672167229</v>
      </c>
      <c r="AK80">
        <v>350</v>
      </c>
    </row>
    <row r="81" spans="23:37" x14ac:dyDescent="0.3">
      <c r="W81" cm="1">
        <f t="array" ref="W81">[1]!propssi("S","Q",0,"T",Y81,$W$1)/1000</f>
        <v>1.3101725884345881</v>
      </c>
      <c r="X81" cm="1">
        <f t="array" ref="X81">[1]!propssi("S","Q",1,"T",Y81,$W$1)/1000</f>
        <v>1.7643006249391882</v>
      </c>
      <c r="Y81">
        <v>351</v>
      </c>
      <c r="Z81" cm="1">
        <f t="array" ref="Z81">[1]!propssi("S","Q",0,"T",AB81,$Z$1)/1000</f>
        <v>1.3288379723749539</v>
      </c>
      <c r="AA81" cm="1">
        <f t="array" ref="AA81">[1]!propssi("S","Q",1,"T",AB81,$Z$1)/1000</f>
        <v>1.804765888130669</v>
      </c>
      <c r="AB81">
        <v>351</v>
      </c>
      <c r="AC81" cm="1">
        <f t="array" ref="AC81">[1]!propssi("S","Q",0,"T",AE81,$AC$1)/1000</f>
        <v>1.3122428760511569</v>
      </c>
      <c r="AD81" cm="1">
        <f t="array" ref="AD81">[1]!propssi("S","Q",1,"T",AE81,$AC$1)/1000</f>
        <v>1.7148926124038433</v>
      </c>
      <c r="AE81">
        <v>351</v>
      </c>
      <c r="AF81" cm="1">
        <f t="array" ref="AF81">[1]!propssi("S","Q",0,"T",AH81,$AF$1)/1000</f>
        <v>1.3377903682100312</v>
      </c>
      <c r="AG81" cm="1">
        <f t="array" ref="AG81">[1]!propssi("S","Q",1,"T",AH81,$AF$1)/1000</f>
        <v>1.7886616164406384</v>
      </c>
      <c r="AH81">
        <v>351</v>
      </c>
      <c r="AI81" cm="1">
        <f t="array" ref="AI81">[1]!propssi("S","Q",0,"T",AK81,$AI$1)/1000</f>
        <v>1.4005438459687767</v>
      </c>
      <c r="AJ81" cm="1">
        <f t="array" ref="AJ81">[1]!propssi("S","Q",1,"T",AK81,$AI$1)/1000</f>
        <v>1.8376424374393319</v>
      </c>
      <c r="AK81">
        <v>351</v>
      </c>
    </row>
    <row r="82" spans="23:37" x14ac:dyDescent="0.3">
      <c r="W82" cm="1">
        <f t="array" ref="W82">[1]!propssi("S","Q",0,"T",Y82,$W$1)/1000</f>
        <v>1.313921495508096</v>
      </c>
      <c r="X82" cm="1">
        <f t="array" ref="X82">[1]!propssi("S","Q",1,"T",Y82,$W$1)/1000</f>
        <v>1.7647461808982305</v>
      </c>
      <c r="Y82">
        <v>352</v>
      </c>
      <c r="Z82" cm="1">
        <f t="array" ref="Z82">[1]!propssi("S","Q",0,"T",AB82,$Z$1)/1000</f>
        <v>1.3329605460011649</v>
      </c>
      <c r="AA82" cm="1">
        <f t="array" ref="AA82">[1]!propssi("S","Q",1,"T",AB82,$Z$1)/1000</f>
        <v>1.8049377359392469</v>
      </c>
      <c r="AB82">
        <v>352</v>
      </c>
      <c r="AC82" cm="1">
        <f t="array" ref="AC82">[1]!propssi("S","Q",0,"T",AE82,$AC$1)/1000</f>
        <v>1.3160354690621254</v>
      </c>
      <c r="AD82" cm="1">
        <f t="array" ref="AD82">[1]!propssi("S","Q",1,"T",AE82,$AC$1)/1000</f>
        <v>1.7158526955822551</v>
      </c>
      <c r="AE82">
        <v>352</v>
      </c>
      <c r="AF82" cm="1">
        <f t="array" ref="AF82">[1]!propssi("S","Q",0,"T",AH82,$AF$1)/1000</f>
        <v>1.3420233642147337</v>
      </c>
      <c r="AG82" cm="1">
        <f t="array" ref="AG82">[1]!propssi("S","Q",1,"T",AH82,$AF$1)/1000</f>
        <v>1.7886370100647075</v>
      </c>
      <c r="AH82">
        <v>352</v>
      </c>
      <c r="AI82" cm="1">
        <f t="array" ref="AI82">[1]!propssi("S","Q",0,"T",AK82,$AI$1)/1000</f>
        <v>1.404451831450193</v>
      </c>
      <c r="AJ82" cm="1">
        <f t="array" ref="AJ82">[1]!propssi("S","Q",1,"T",AK82,$AI$1)/1000</f>
        <v>1.8381478658051356</v>
      </c>
      <c r="AK82">
        <v>352</v>
      </c>
    </row>
    <row r="83" spans="23:37" x14ac:dyDescent="0.3">
      <c r="W83" cm="1">
        <f t="array" ref="W83">[1]!propssi("S","Q",0,"T",Y83,$W$1)/1000</f>
        <v>1.3176670538154613</v>
      </c>
      <c r="X83" cm="1">
        <f t="array" ref="X83">[1]!propssi("S","Q",1,"T",Y83,$W$1)/1000</f>
        <v>1.765191877977935</v>
      </c>
      <c r="Y83">
        <v>353</v>
      </c>
      <c r="Z83" cm="1">
        <f t="array" ref="Z83">[1]!propssi("S","Q",0,"T",AB83,$Z$1)/1000</f>
        <v>1.3370835233270275</v>
      </c>
      <c r="AA83" cm="1">
        <f t="array" ref="AA83">[1]!propssi("S","Q",1,"T",AB83,$Z$1)/1000</f>
        <v>1.8051079380359598</v>
      </c>
      <c r="AB83">
        <v>353</v>
      </c>
      <c r="AC83" cm="1">
        <f t="array" ref="AC83">[1]!propssi("S","Q",0,"T",AE83,$AC$1)/1000</f>
        <v>1.3198241148073862</v>
      </c>
      <c r="AD83" cm="1">
        <f t="array" ref="AD83">[1]!propssi("S","Q",1,"T",AE83,$AC$1)/1000</f>
        <v>1.7168133857517289</v>
      </c>
      <c r="AE83">
        <v>353</v>
      </c>
      <c r="AF83" cm="1">
        <f t="array" ref="AF83">[1]!propssi("S","Q",0,"T",AH83,$AF$1)/1000</f>
        <v>1.3462582283518787</v>
      </c>
      <c r="AG83" cm="1">
        <f t="array" ref="AG83">[1]!propssi("S","Q",1,"T",AH83,$AF$1)/1000</f>
        <v>1.7886054875430766</v>
      </c>
      <c r="AH83">
        <v>353</v>
      </c>
      <c r="AI83" cm="1">
        <f t="array" ref="AI83">[1]!propssi("S","Q",0,"T",AK83,$AI$1)/1000</f>
        <v>1.4083579246443632</v>
      </c>
      <c r="AJ83" cm="1">
        <f t="array" ref="AJ83">[1]!propssi("S","Q",1,"T",AK83,$AI$1)/1000</f>
        <v>1.8386528087633651</v>
      </c>
      <c r="AK83">
        <v>353</v>
      </c>
    </row>
    <row r="84" spans="23:37" x14ac:dyDescent="0.3">
      <c r="W84" cm="1">
        <f t="array" ref="W84">[1]!propssi("S","Q",0,"T",Y84,$W$1)/1000</f>
        <v>1.3214093848218289</v>
      </c>
      <c r="X84" cm="1">
        <f t="array" ref="X84">[1]!propssi("S","Q",1,"T",Y84,$W$1)/1000</f>
        <v>1.7656375157357678</v>
      </c>
      <c r="Y84">
        <v>354</v>
      </c>
      <c r="Z84" cm="1">
        <f t="array" ref="Z84">[1]!propssi("S","Q",0,"T",AB84,$Z$1)/1000</f>
        <v>1.3412070714904625</v>
      </c>
      <c r="AA84" cm="1">
        <f t="array" ref="AA84">[1]!propssi("S","Q",1,"T",AB84,$Z$1)/1000</f>
        <v>1.8052761883190784</v>
      </c>
      <c r="AB84">
        <v>354</v>
      </c>
      <c r="AC84" cm="1">
        <f t="array" ref="AC84">[1]!propssi("S","Q",0,"T",AE84,$AC$1)/1000</f>
        <v>1.323608889052136</v>
      </c>
      <c r="AD84" cm="1">
        <f t="array" ref="AD84">[1]!propssi("S","Q",1,"T",AE84,$AC$1)/1000</f>
        <v>1.7177745032976084</v>
      </c>
      <c r="AE84">
        <v>354</v>
      </c>
      <c r="AF84" cm="1">
        <f t="array" ref="AF84">[1]!propssi("S","Q",0,"T",AH84,$AF$1)/1000</f>
        <v>1.3504952328467386</v>
      </c>
      <c r="AG84" cm="1">
        <f t="array" ref="AG84">[1]!propssi("S","Q",1,"T",AH84,$AF$1)/1000</f>
        <v>1.7885665399210797</v>
      </c>
      <c r="AH84">
        <v>354</v>
      </c>
      <c r="AI84" cm="1">
        <f t="array" ref="AI84">[1]!propssi("S","Q",0,"T",AK84,$AI$1)/1000</f>
        <v>1.4122622536384495</v>
      </c>
      <c r="AJ84" cm="1">
        <f t="array" ref="AJ84">[1]!propssi("S","Q",1,"T",AK84,$AI$1)/1000</f>
        <v>1.8391570192642943</v>
      </c>
      <c r="AK84">
        <v>354</v>
      </c>
    </row>
    <row r="85" spans="23:37" x14ac:dyDescent="0.3">
      <c r="W85" cm="1">
        <f t="array" ref="W85">[1]!propssi("S","Q",0,"T",Y85,$W$1)/1000</f>
        <v>1.3251486121459628</v>
      </c>
      <c r="X85" cm="1">
        <f t="array" ref="X85">[1]!propssi("S","Q",1,"T",Y85,$W$1)/1000</f>
        <v>1.7660828908968944</v>
      </c>
      <c r="Y85">
        <v>355</v>
      </c>
      <c r="Z85" cm="1">
        <f t="array" ref="Z85">[1]!propssi("S","Q",0,"T",AB85,$Z$1)/1000</f>
        <v>1.3453313631466228</v>
      </c>
      <c r="AA85" cm="1">
        <f t="array" ref="AA85">[1]!propssi("S","Q",1,"T",AB85,$Z$1)/1000</f>
        <v>1.8054421742657771</v>
      </c>
      <c r="AB85">
        <v>355</v>
      </c>
      <c r="AC85" cm="1">
        <f t="array" ref="AC85">[1]!propssi("S","Q",0,"T",AE85,$AC$1)/1000</f>
        <v>1.3273898689837746</v>
      </c>
      <c r="AD85" cm="1">
        <f t="array" ref="AD85">[1]!propssi("S","Q",1,"T",AE85,$AC$1)/1000</f>
        <v>1.7187358674632081</v>
      </c>
      <c r="AE85">
        <v>355</v>
      </c>
      <c r="AF85" cm="1">
        <f t="array" ref="AF85">[1]!propssi("S","Q",0,"T",AH85,$AF$1)/1000</f>
        <v>1.3547346607270343</v>
      </c>
      <c r="AG85" cm="1">
        <f t="array" ref="AG85">[1]!propssi("S","Q",1,"T",AH85,$AF$1)/1000</f>
        <v>1.7885196401754135</v>
      </c>
      <c r="AH85">
        <v>355</v>
      </c>
      <c r="AI85" cm="1">
        <f t="array" ref="AI85">[1]!propssi("S","Q",0,"T",AK85,$AI$1)/1000</f>
        <v>1.4161649498105278</v>
      </c>
      <c r="AJ85" cm="1">
        <f t="array" ref="AJ85">[1]!propssi("S","Q",1,"T",AK85,$AI$1)/1000</f>
        <v>1.839660246514107</v>
      </c>
      <c r="AK85">
        <v>355</v>
      </c>
    </row>
    <row r="86" spans="23:37" x14ac:dyDescent="0.3">
      <c r="W86" cm="1">
        <f t="array" ref="W86">[1]!propssi("S","Q",0,"T",Y86,$W$1)/1000</f>
        <v>1.3288848616633187</v>
      </c>
      <c r="X86" cm="1">
        <f t="array" ref="X86">[1]!propssi("S","Q",1,"T",Y86,$W$1)/1000</f>
        <v>1.7665277971603934</v>
      </c>
      <c r="Y86">
        <v>356</v>
      </c>
      <c r="Z86" cm="1">
        <f t="array" ref="Z86">[1]!propssi("S","Q",0,"T",AB86,$Z$1)/1000</f>
        <v>1.3494565767704481</v>
      </c>
      <c r="AA86" cm="1">
        <f t="array" ref="AA86">[1]!propssi("S","Q",1,"T",AB86,$Z$1)/1000</f>
        <v>1.8056055765284615</v>
      </c>
      <c r="AB86">
        <v>356</v>
      </c>
      <c r="AC86" cm="1">
        <f t="array" ref="AC86">[1]!propssi("S","Q",0,"T",AE86,$AC$1)/1000</f>
        <v>1.3311671332755115</v>
      </c>
      <c r="AD86" cm="1">
        <f t="array" ref="AD86">[1]!propssi("S","Q",1,"T",AE86,$AC$1)/1000</f>
        <v>1.7196972962375918</v>
      </c>
      <c r="AE86">
        <v>356</v>
      </c>
      <c r="AF86" cm="1">
        <f t="array" ref="AF86">[1]!propssi("S","Q",0,"T",AH86,$AF$1)/1000</f>
        <v>1.3589768065804602</v>
      </c>
      <c r="AG86" cm="1">
        <f t="array" ref="AG86">[1]!propssi("S","Q",1,"T",AH86,$AF$1)/1000</f>
        <v>1.7884642419239472</v>
      </c>
      <c r="AH86">
        <v>356</v>
      </c>
      <c r="AI86" cm="1">
        <f t="array" ref="AI86">[1]!propssi("S","Q",0,"T",AK86,$AI$1)/1000</f>
        <v>1.4200661479993679</v>
      </c>
      <c r="AJ86" cm="1">
        <f t="array" ref="AJ86">[1]!propssi("S","Q",1,"T",AK86,$AI$1)/1000</f>
        <v>1.8401622357158498</v>
      </c>
      <c r="AK86">
        <v>356</v>
      </c>
    </row>
    <row r="87" spans="23:37" x14ac:dyDescent="0.3">
      <c r="W87" cm="1">
        <f t="array" ref="W87">[1]!propssi("S","Q",0,"T",Y87,$W$1)/1000</f>
        <v>1.3326182616144591</v>
      </c>
      <c r="X87" cm="1">
        <f t="array" ref="X87">[1]!propssi("S","Q",1,"T",Y87,$W$1)/1000</f>
        <v>1.7669720249970484</v>
      </c>
      <c r="Y87">
        <v>357</v>
      </c>
      <c r="Z87" cm="1">
        <f t="array" ref="Z87">[1]!propssi("S","Q",0,"T",AB87,$Z$1)/1000</f>
        <v>1.3535828969779824</v>
      </c>
      <c r="AA87" cm="1">
        <f t="array" ref="AA87">[1]!propssi("S","Q",1,"T",AB87,$Z$1)/1000</f>
        <v>1.8057660685049486</v>
      </c>
      <c r="AB87">
        <v>357</v>
      </c>
      <c r="AC87" cm="1">
        <f t="array" ref="AC87">[1]!propssi("S","Q",0,"T",AE87,$AC$1)/1000</f>
        <v>1.3349407621532627</v>
      </c>
      <c r="AD87" cm="1">
        <f t="array" ref="AD87">[1]!propssi("S","Q",1,"T",AE87,$AC$1)/1000</f>
        <v>1.7206586062386469</v>
      </c>
      <c r="AE87">
        <v>357</v>
      </c>
      <c r="AF87" cm="1">
        <f t="array" ref="AF87">[1]!propssi("S","Q",0,"T",AH87,$AF$1)/1000</f>
        <v>1.3632219773781797</v>
      </c>
      <c r="AG87" cm="1">
        <f t="array" ref="AG87">[1]!propssi("S","Q",1,"T",AH87,$AF$1)/1000</f>
        <v>1.7883997780277441</v>
      </c>
      <c r="AH87">
        <v>357</v>
      </c>
      <c r="AI87" cm="1">
        <f t="array" ref="AI87">[1]!propssi("S","Q",0,"T",AK87,$AI$1)/1000</f>
        <v>1.4239659866841805</v>
      </c>
      <c r="AJ87" cm="1">
        <f t="array" ref="AJ87">[1]!propssi("S","Q",1,"T",AK87,$AI$1)/1000</f>
        <v>1.8406627277972041</v>
      </c>
      <c r="AK87">
        <v>357</v>
      </c>
    </row>
    <row r="88" spans="23:37" x14ac:dyDescent="0.3">
      <c r="W88" cm="1">
        <f t="array" ref="W88">[1]!propssi("S","Q",0,"T",Y88,$W$1)/1000</f>
        <v>1.3363489427191748</v>
      </c>
      <c r="X88" cm="1">
        <f t="array" ref="X88">[1]!propssi("S","Q",1,"T",Y88,$W$1)/1000</f>
        <v>1.7674153614380719</v>
      </c>
      <c r="Y88">
        <v>358</v>
      </c>
      <c r="Z88" cm="1">
        <f t="array" ref="Z88">[1]!propssi("S","Q",0,"T",AB88,$Z$1)/1000</f>
        <v>1.3577105148679747</v>
      </c>
      <c r="AA88" cm="1">
        <f t="array" ref="AA88">[1]!propssi("S","Q",1,"T",AB88,$Z$1)/1000</f>
        <v>1.8059233158802741</v>
      </c>
      <c r="AB88">
        <v>358</v>
      </c>
      <c r="AC88" cm="1">
        <f t="array" ref="AC88">[1]!propssi("S","Q",0,"T",AE88,$AC$1)/1000</f>
        <v>1.3387108374660814</v>
      </c>
      <c r="AD88" cm="1">
        <f t="array" ref="AD88">[1]!propssi("S","Q",1,"T",AE88,$AC$1)/1000</f>
        <v>1.7216196125911021</v>
      </c>
      <c r="AE88">
        <v>358</v>
      </c>
      <c r="AF88" cm="1">
        <f t="array" ref="AF88">[1]!propssi("S","Q",0,"T",AH88,$AF$1)/1000</f>
        <v>1.3674704933714508</v>
      </c>
      <c r="AG88" cm="1">
        <f t="array" ref="AG88">[1]!propssi("S","Q",1,"T",AH88,$AF$1)/1000</f>
        <v>1.788325659073926</v>
      </c>
      <c r="AH88">
        <v>358</v>
      </c>
      <c r="AI88" cm="1">
        <f t="array" ref="AI88">[1]!propssi("S","Q",0,"T",AK88,$AI$1)/1000</f>
        <v>1.4278646081750841</v>
      </c>
      <c r="AJ88" cm="1">
        <f t="array" ref="AJ88">[1]!propssi("S","Q",1,"T",AK88,$AI$1)/1000</f>
        <v>1.8411614591230829</v>
      </c>
      <c r="AK88">
        <v>358</v>
      </c>
    </row>
    <row r="89" spans="23:37" x14ac:dyDescent="0.3">
      <c r="W89" cm="1">
        <f t="array" ref="W89">[1]!propssi("S","Q",0,"T",Y89,$W$1)/1000</f>
        <v>1.3400770382966898</v>
      </c>
      <c r="X89" cm="1">
        <f t="array" ref="X89">[1]!propssi("S","Q",1,"T",Y89,$W$1)/1000</f>
        <v>1.7678575898541224</v>
      </c>
      <c r="Y89">
        <v>359</v>
      </c>
      <c r="Z89" cm="1">
        <f t="array" ref="Z89">[1]!propssi("S","Q",0,"T",AB89,$Z$1)/1000</f>
        <v>1.3618396283853733</v>
      </c>
      <c r="AA89" cm="1">
        <f t="array" ref="AA89">[1]!propssi("S","Q",1,"T",AB89,$Z$1)/1000</f>
        <v>1.8060769761374187</v>
      </c>
      <c r="AB89">
        <v>359</v>
      </c>
      <c r="AC89" cm="1">
        <f t="array" ref="AC89">[1]!propssi("S","Q",0,"T",AE89,$AC$1)/1000</f>
        <v>1.3424774427603379</v>
      </c>
      <c r="AD89" cm="1">
        <f t="array" ref="AD89">[1]!propssi("S","Q",1,"T",AE89,$AC$1)/1000</f>
        <v>1.722580128799128</v>
      </c>
      <c r="AE89">
        <v>359</v>
      </c>
      <c r="AF89" cm="1">
        <f t="array" ref="AF89">[1]!propssi("S","Q",0,"T",AH89,$AF$1)/1000</f>
        <v>1.3717226890694978</v>
      </c>
      <c r="AG89" cm="1">
        <f t="array" ref="AG89">[1]!propssi("S","Q",1,"T",AH89,$AF$1)/1000</f>
        <v>1.7882412717265912</v>
      </c>
      <c r="AH89">
        <v>359</v>
      </c>
      <c r="AI89" cm="1">
        <f t="array" ref="AI89">[1]!propssi("S","Q",0,"T",AK89,$AI$1)/1000</f>
        <v>1.4317621588151186</v>
      </c>
      <c r="AJ89" cm="1">
        <f t="array" ref="AJ89">[1]!propssi("S","Q",1,"T",AK89,$AI$1)/1000</f>
        <v>1.8416581611913783</v>
      </c>
      <c r="AK89">
        <v>359</v>
      </c>
    </row>
    <row r="90" spans="23:37" x14ac:dyDescent="0.3">
      <c r="W90" cm="1">
        <f t="array" ref="W90">[1]!propssi("S","Q",0,"T",Y90,$W$1)/1000</f>
        <v>1.3438026843923925</v>
      </c>
      <c r="X90" cm="1">
        <f t="array" ref="X90">[1]!propssi("S","Q",1,"T",Y90,$W$1)/1000</f>
        <v>1.7682984897238663</v>
      </c>
      <c r="Y90">
        <v>360</v>
      </c>
      <c r="Z90" cm="1">
        <f t="array" ref="Z90">[1]!propssi("S","Q",0,"T",AB90,$Z$1)/1000</f>
        <v>1.3659704427087216</v>
      </c>
      <c r="AA90" cm="1">
        <f t="array" ref="AA90">[1]!propssi("S","Q",1,"T",AB90,$Z$1)/1000</f>
        <v>1.8062266980344144</v>
      </c>
      <c r="AB90">
        <v>360</v>
      </c>
      <c r="AC90" cm="1">
        <f t="array" ref="AC90">[1]!propssi("S","Q",0,"T",AE90,$AC$1)/1000</f>
        <v>1.3462406633579247</v>
      </c>
      <c r="AD90" cm="1">
        <f t="array" ref="AD90">[1]!propssi("S","Q",1,"T",AE90,$AC$1)/1000</f>
        <v>1.7235399666131064</v>
      </c>
      <c r="AE90">
        <v>360</v>
      </c>
      <c r="AF90" cm="1">
        <f t="array" ref="AF90">[1]!propssi("S","Q",0,"T",AH90,$AF$1)/1000</f>
        <v>1.3759789143077727</v>
      </c>
      <c r="AG90" cm="1">
        <f t="array" ref="AG90">[1]!propssi("S","Q",1,"T",AH90,$AF$1)/1000</f>
        <v>1.7881459769312811</v>
      </c>
      <c r="AH90">
        <v>360</v>
      </c>
      <c r="AI90" cm="1">
        <f t="array" ref="AI90">[1]!propssi("S","Q",0,"T",AK90,$AI$1)/1000</f>
        <v>1.4356587891947203</v>
      </c>
      <c r="AJ90" cm="1">
        <f t="array" ref="AJ90">[1]!propssi("S","Q",1,"T",AK90,$AI$1)/1000</f>
        <v>1.8421525603122959</v>
      </c>
      <c r="AK90">
        <v>360</v>
      </c>
    </row>
    <row r="91" spans="23:37" x14ac:dyDescent="0.3">
      <c r="W91" cm="1">
        <f t="array" ref="W91">[1]!propssi("S","Q",0,"T",Y91,$W$1)/1000</f>
        <v>1.3475260199115398</v>
      </c>
      <c r="X91" cm="1">
        <f t="array" ref="X91">[1]!propssi("S","Q",1,"T",Y91,$W$1)/1000</f>
        <v>1.7687378363913209</v>
      </c>
      <c r="Y91">
        <v>361</v>
      </c>
      <c r="Z91" cm="1">
        <f t="array" ref="Z91">[1]!propssi("S","Q",0,"T",AB91,$Z$1)/1000</f>
        <v>1.3701031706633617</v>
      </c>
      <c r="AA91" cm="1">
        <f t="array" ref="AA91">[1]!propssi("S","Q",1,"T",AB91,$Z$1)/1000</f>
        <v>1.8063721210445647</v>
      </c>
      <c r="AB91">
        <v>361</v>
      </c>
      <c r="AC91" cm="1">
        <f t="array" ref="AC91">[1]!propssi("S","Q",0,"T",AE91,$AC$1)/1000</f>
        <v>1.3500005864387461</v>
      </c>
      <c r="AD91" cm="1">
        <f t="array" ref="AD91">[1]!propssi("S","Q",1,"T",AE91,$AC$1)/1000</f>
        <v>1.724498935890193</v>
      </c>
      <c r="AE91">
        <v>361</v>
      </c>
      <c r="AF91" cm="1">
        <f t="array" ref="AF91">[1]!propssi("S","Q",0,"T",AH91,$AF$1)/1000</f>
        <v>1.3802395354170025</v>
      </c>
      <c r="AG91" cm="1">
        <f t="array" ref="AG91">[1]!propssi("S","Q",1,"T",AH91,$AF$1)/1000</f>
        <v>1.7880391079567068</v>
      </c>
      <c r="AH91">
        <v>361</v>
      </c>
      <c r="AI91" cm="1">
        <f t="array" ref="AI91">[1]!propssi("S","Q",0,"T",AK91,$AI$1)/1000</f>
        <v>1.4395546543796507</v>
      </c>
      <c r="AJ91" cm="1">
        <f t="array" ref="AJ91">[1]!propssi("S","Q",1,"T",AK91,$AI$1)/1000</f>
        <v>1.8426445313990547</v>
      </c>
      <c r="AK91">
        <v>361</v>
      </c>
    </row>
    <row r="92" spans="23:37" x14ac:dyDescent="0.3">
      <c r="W92" cm="1">
        <f t="array" ref="W92">[1]!propssi("S","Q",0,"T",Y92,$W$1)/1000</f>
        <v>1.3512471867604432</v>
      </c>
      <c r="X92" cm="1">
        <f t="array" ref="X92">[1]!propssi("S","Q",1,"T",Y92,$W$1)/1000</f>
        <v>1.7691754008111384</v>
      </c>
      <c r="Y92">
        <v>362</v>
      </c>
      <c r="Z92" cm="1">
        <f t="array" ref="Z92">[1]!propssi("S","Q",0,"T",AB92,$Z$1)/1000</f>
        <v>1.3742380331628019</v>
      </c>
      <c r="AA92" cm="1">
        <f t="array" ref="AA92">[1]!propssi("S","Q",1,"T",AB92,$Z$1)/1000</f>
        <v>1.8065128747565291</v>
      </c>
      <c r="AB92">
        <v>362</v>
      </c>
      <c r="AC92" cm="1">
        <f t="array" ref="AC92">[1]!propssi("S","Q",0,"T",AE92,$AC$1)/1000</f>
        <v>1.3537573011277915</v>
      </c>
      <c r="AD92" cm="1">
        <f t="array" ref="AD92">[1]!propssi("S","Q",1,"T",AE92,$AC$1)/1000</f>
        <v>1.7254568444481568</v>
      </c>
      <c r="AE92">
        <v>362</v>
      </c>
      <c r="AF92" cm="1">
        <f t="array" ref="AF92">[1]!propssi("S","Q",0,"T",AH92,$AF$1)/1000</f>
        <v>1.3845049365048676</v>
      </c>
      <c r="AG92" cm="1">
        <f t="array" ref="AG92">[1]!propssi("S","Q",1,"T",AH92,$AF$1)/1000</f>
        <v>1.7879199682551348</v>
      </c>
      <c r="AH92">
        <v>362</v>
      </c>
      <c r="AI92" cm="1">
        <f t="array" ref="AI92">[1]!propssi("S","Q",0,"T",AK92,$AI$1)/1000</f>
        <v>1.4434499141534385</v>
      </c>
      <c r="AJ92" cm="1">
        <f t="array" ref="AJ92">[1]!propssi("S","Q",1,"T",AK92,$AI$1)/1000</f>
        <v>1.8431335035780445</v>
      </c>
      <c r="AK92">
        <v>362</v>
      </c>
    </row>
    <row r="93" spans="23:37" x14ac:dyDescent="0.3">
      <c r="W93" cm="1">
        <f t="array" ref="W93">[1]!propssi("S","Q",0,"T",Y93,$W$1)/1000</f>
        <v>1.3549663299956802</v>
      </c>
      <c r="X93" cm="1">
        <f t="array" ref="X93">[1]!propssi("S","Q",1,"T",Y93,$W$1)/1000</f>
        <v>1.7696109492809071</v>
      </c>
      <c r="Y93">
        <v>363</v>
      </c>
      <c r="Z93" cm="1">
        <f t="array" ref="Z93">[1]!propssi("S","Q",0,"T",AB93,$Z$1)/1000</f>
        <v>1.3783752596807095</v>
      </c>
      <c r="AA93" cm="1">
        <f t="array" ref="AA93">[1]!propssi("S","Q",1,"T",AB93,$Z$1)/1000</f>
        <v>1.8066485782304118</v>
      </c>
      <c r="AB93">
        <v>363</v>
      </c>
      <c r="AC93" cm="1">
        <f t="array" ref="AC93">[1]!propssi("S","Q",0,"T",AE93,$AC$1)/1000</f>
        <v>1.357510898587114</v>
      </c>
      <c r="AD93" cm="1">
        <f t="array" ref="AD93">[1]!propssi("S","Q",1,"T",AE93,$AC$1)/1000</f>
        <v>1.7264134979120469</v>
      </c>
      <c r="AE93">
        <v>363</v>
      </c>
      <c r="AF93" cm="1">
        <f t="array" ref="AF93">[1]!propssi("S","Q",0,"T",AH93,$AF$1)/1000</f>
        <v>1.3887755208637766</v>
      </c>
      <c r="AG93" cm="1">
        <f t="array" ref="AG93">[1]!propssi("S","Q",1,"T",AH93,$AF$1)/1000</f>
        <v>1.7877878291203497</v>
      </c>
      <c r="AH93">
        <v>363</v>
      </c>
      <c r="AI93" cm="1">
        <f t="array" ref="AI93">[1]!propssi("S","Q",0,"T",AK93,$AI$1)/1000</f>
        <v>1.4473447332755498</v>
      </c>
      <c r="AJ93" cm="1">
        <f t="array" ref="AJ93">[1]!propssi("S","Q",1,"T",AK93,$AI$1)/1000</f>
        <v>1.8436193165115269</v>
      </c>
      <c r="AK93">
        <v>363</v>
      </c>
    </row>
    <row r="94" spans="23:37" x14ac:dyDescent="0.3">
      <c r="W94" cm="1">
        <f t="array" ref="W94">[1]!propssi("S","Q",0,"T",Y94,$W$1)/1000</f>
        <v>1.3586835979819074</v>
      </c>
      <c r="X94" cm="1">
        <f t="array" ref="X94">[1]!propssi("S","Q",1,"T",Y94,$W$1)/1000</f>
        <v>1.7700442431595043</v>
      </c>
      <c r="Y94">
        <v>364</v>
      </c>
      <c r="Z94" cm="1">
        <f t="array" ref="Z94">[1]!propssi("S","Q",0,"T",AB94,$Z$1)/1000</f>
        <v>1.3825150887563475</v>
      </c>
      <c r="AA94" cm="1">
        <f t="array" ref="AA94">[1]!propssi("S","Q",1,"T",AB94,$Z$1)/1000</f>
        <v>1.8067788393057238</v>
      </c>
      <c r="AB94">
        <v>364</v>
      </c>
      <c r="AC94" cm="1">
        <f t="array" ref="AC94">[1]!propssi("S","Q",0,"T",AE94,$AC$1)/1000</f>
        <v>1.3612614721130731</v>
      </c>
      <c r="AD94" cm="1">
        <f t="array" ref="AD94">[1]!propssi("S","Q",1,"T",AE94,$AC$1)/1000</f>
        <v>1.7273686995531607</v>
      </c>
      <c r="AE94">
        <v>364</v>
      </c>
      <c r="AF94" cm="1">
        <f t="array" ref="AF94">[1]!propssi("S","Q",0,"T",AH94,$AF$1)/1000</f>
        <v>1.3930517125201733</v>
      </c>
      <c r="AG94" cm="1">
        <f t="array" ref="AG94">[1]!propssi("S","Q",1,"T",AH94,$AF$1)/1000</f>
        <v>1.7876419271191863</v>
      </c>
      <c r="AH94">
        <v>364</v>
      </c>
      <c r="AI94" cm="1">
        <f t="array" ref="AI94">[1]!propssi("S","Q",0,"T",AK94,$AI$1)/1000</f>
        <v>1.4512392817565853</v>
      </c>
      <c r="AJ94" cm="1">
        <f t="array" ref="AJ94">[1]!propssi("S","Q",1,"T",AK94,$AI$1)/1000</f>
        <v>1.8441016719566821</v>
      </c>
      <c r="AK94">
        <v>364</v>
      </c>
    </row>
    <row r="95" spans="23:37" x14ac:dyDescent="0.3">
      <c r="W95" cm="1">
        <f t="array" ref="W95">[1]!propssi("S","Q",0,"T",Y95,$W$1)/1000</f>
        <v>1.3623991425589403</v>
      </c>
      <c r="X95" cm="1">
        <f t="array" ref="X95">[1]!propssi("S","Q",1,"T",Y95,$W$1)/1000</f>
        <v>1.7704750385704127</v>
      </c>
      <c r="Y95">
        <v>365</v>
      </c>
      <c r="Z95" cm="1">
        <f t="array" ref="Z95">[1]!propssi("S","Q",0,"T",AB95,$Z$1)/1000</f>
        <v>1.3866577685364865</v>
      </c>
      <c r="AA95" cm="1">
        <f t="array" ref="AA95">[1]!propssi("S","Q",1,"T",AB95,$Z$1)/1000</f>
        <v>1.8069032538565184</v>
      </c>
      <c r="AB95">
        <v>365</v>
      </c>
      <c r="AC95" cm="1">
        <f t="array" ref="AC95">[1]!propssi("S","Q",0,"T",AE95,$AC$1)/1000</f>
        <v>1.3650091172391834</v>
      </c>
      <c r="AD95" cm="1">
        <f t="array" ref="AD95">[1]!propssi("S","Q",1,"T",AE95,$AC$1)/1000</f>
        <v>1.728322250119714</v>
      </c>
      <c r="AE95">
        <v>365</v>
      </c>
      <c r="AF95" cm="1">
        <f t="array" ref="AF95">[1]!propssi("S","Q",0,"T",AH95,$AF$1)/1000</f>
        <v>1.3973339579430926</v>
      </c>
      <c r="AG95" cm="1">
        <f t="array" ref="AG95">[1]!propssi("S","Q",1,"T",AH95,$AF$1)/1000</f>
        <v>1.7874814612691359</v>
      </c>
      <c r="AH95">
        <v>365</v>
      </c>
      <c r="AI95" cm="1">
        <f t="array" ref="AI95">[1]!propssi("S","Q",0,"T",AK95,$AI$1)/1000</f>
        <v>1.45513373515194</v>
      </c>
      <c r="AJ95" cm="1">
        <f t="array" ref="AJ95">[1]!propssi("S","Q",1,"T",AK95,$AI$1)/1000</f>
        <v>1.8445802645351823</v>
      </c>
      <c r="AK95">
        <v>365</v>
      </c>
    </row>
    <row r="96" spans="23:37" x14ac:dyDescent="0.3">
      <c r="W96" cm="1">
        <f t="array" ref="W96">[1]!propssi("S","Q",0,"T",Y96,$W$1)/1000</f>
        <v>1.366113119218791</v>
      </c>
      <c r="X96" cm="1">
        <f t="array" ref="X96">[1]!propssi("S","Q",1,"T",Y96,$W$1)/1000</f>
        <v>1.7709030860888619</v>
      </c>
      <c r="Y96">
        <v>366</v>
      </c>
      <c r="Z96" cm="1">
        <f t="array" ref="Z96">[1]!propssi("S","Q",0,"T",AB96,$Z$1)/1000</f>
        <v>1.3908035573572846</v>
      </c>
      <c r="AA96" cm="1">
        <f t="array" ref="AA96">[1]!propssi("S","Q",1,"T",AB96,$Z$1)/1000</f>
        <v>1.8070214049885371</v>
      </c>
      <c r="AB96">
        <v>366</v>
      </c>
      <c r="AC96" cm="1">
        <f t="array" ref="AC96">[1]!propssi("S","Q",0,"T",AE96,$AC$1)/1000</f>
        <v>1.3687539318450195</v>
      </c>
      <c r="AD96" cm="1">
        <f t="array" ref="AD96">[1]!propssi("S","Q",1,"T",AE96,$AC$1)/1000</f>
        <v>1.7292739476586212</v>
      </c>
      <c r="AE96">
        <v>366</v>
      </c>
      <c r="AF96" cm="1">
        <f t="array" ref="AF96">[1]!propssi("S","Q",0,"T",AH96,$AF$1)/1000</f>
        <v>1.4016227279322455</v>
      </c>
      <c r="AG96" cm="1">
        <f t="array" ref="AG96">[1]!propssi("S","Q",1,"T",AH96,$AF$1)/1000</f>
        <v>1.787305589930541</v>
      </c>
      <c r="AH96">
        <v>366</v>
      </c>
      <c r="AI96" cm="1">
        <f t="array" ref="AI96">[1]!propssi("S","Q",0,"T",AK96,$AI$1)/1000</f>
        <v>1.4590282748754881</v>
      </c>
      <c r="AJ96" cm="1">
        <f t="array" ref="AJ96">[1]!propssi("S","Q",1,"T",AK96,$AI$1)/1000</f>
        <v>1.8450547812689648</v>
      </c>
      <c r="AK96">
        <v>366</v>
      </c>
    </row>
    <row r="97" spans="23:37" x14ac:dyDescent="0.3">
      <c r="W97" cm="1">
        <f t="array" ref="W97">[1]!propssi("S","Q",0,"T",Y97,$W$1)/1000</f>
        <v>1.3698256872934167</v>
      </c>
      <c r="X97" cm="1">
        <f t="array" ref="X97">[1]!propssi("S","Q",1,"T",Y97,$W$1)/1000</f>
        <v>1.771328130411514</v>
      </c>
      <c r="Y97">
        <v>367</v>
      </c>
      <c r="Z97" cm="1">
        <f t="array" ref="Z97">[1]!propssi("S","Q",0,"T",AB97,$Z$1)/1000</f>
        <v>1.3949527243699085</v>
      </c>
      <c r="AA97" cm="1">
        <f t="array" ref="AA97">[1]!propssi("S","Q",1,"T",AB97,$Z$1)/1000</f>
        <v>1.8071328621725555</v>
      </c>
      <c r="AB97">
        <v>367</v>
      </c>
      <c r="AC97" cm="1">
        <f t="array" ref="AC97">[1]!propssi("S","Q",0,"T",AE97,$AC$1)/1000</f>
        <v>1.3724960162715747</v>
      </c>
      <c r="AD97" cm="1">
        <f t="array" ref="AD97">[1]!propssi("S","Q",1,"T",AE97,$AC$1)/1000</f>
        <v>1.730223587327725</v>
      </c>
      <c r="AE97">
        <v>367</v>
      </c>
      <c r="AF97" cm="1">
        <f t="array" ref="AF97">[1]!propssi("S","Q",0,"T",AH97,$AF$1)/1000</f>
        <v>1.4059185197091464</v>
      </c>
      <c r="AG97" cm="1">
        <f t="array" ref="AG97">[1]!propssi("S","Q",1,"T",AH97,$AF$1)/1000</f>
        <v>1.7871134273771609</v>
      </c>
      <c r="AH97">
        <v>367</v>
      </c>
      <c r="AI97" cm="1">
        <f t="array" ref="AI97">[1]!propssi("S","Q",0,"T",AK97,$AI$1)/1000</f>
        <v>1.4629230885350863</v>
      </c>
      <c r="AJ97" cm="1">
        <f t="array" ref="AJ97">[1]!propssi("S","Q",1,"T",AK97,$AI$1)/1000</f>
        <v>1.8455249010845334</v>
      </c>
      <c r="AK97">
        <v>367</v>
      </c>
    </row>
    <row r="98" spans="23:37" x14ac:dyDescent="0.3">
      <c r="W98" cm="1">
        <f t="array" ref="W98">[1]!propssi("S","Q",0,"T",Y98,$W$1)/1000</f>
        <v>1.3735370101540452</v>
      </c>
      <c r="X98" cm="1">
        <f t="array" ref="X98">[1]!propssi("S","Q",1,"T",Y98,$W$1)/1000</f>
        <v>1.7717499100073502</v>
      </c>
      <c r="Y98">
        <v>368</v>
      </c>
      <c r="Z98" cm="1">
        <f t="array" ref="Z98">[1]!propssi("S","Q",0,"T",AB98,$Z$1)/1000</f>
        <v>1.3991055502142247</v>
      </c>
      <c r="AA98" cm="1">
        <f t="array" ref="AA98">[1]!propssi("S","Q",1,"T",AB98,$Z$1)/1000</f>
        <v>1.8072371803074117</v>
      </c>
      <c r="AB98">
        <v>368</v>
      </c>
      <c r="AC98" cm="1">
        <f t="array" ref="AC98">[1]!propssi("S","Q",0,"T",AE98,$AC$1)/1000</f>
        <v>1.3762354734435911</v>
      </c>
      <c r="AD98" cm="1">
        <f t="array" ref="AD98">[1]!propssi("S","Q",1,"T",AE98,$AC$1)/1000</f>
        <v>1.731170961197753</v>
      </c>
      <c r="AE98">
        <v>368</v>
      </c>
      <c r="AF98" cm="1">
        <f t="array" ref="AF98">[1]!propssi("S","Q",0,"T",AH98,$AF$1)/1000</f>
        <v>1.4102218592384139</v>
      </c>
      <c r="AG98" cm="1">
        <f t="array" ref="AG98">[1]!propssi("S","Q",1,"T",AH98,$AF$1)/1000</f>
        <v>1.7869040400034246</v>
      </c>
      <c r="AH98">
        <v>368</v>
      </c>
      <c r="AI98" cm="1">
        <f t="array" ref="AI98">[1]!propssi("S","Q",0,"T",AK98,$AI$1)/1000</f>
        <v>1.4668183702917599</v>
      </c>
      <c r="AJ98" cm="1">
        <f t="array" ref="AJ98">[1]!propssi("S","Q",1,"T",AK98,$AI$1)/1000</f>
        <v>1.8459902942834883</v>
      </c>
      <c r="AK98">
        <v>368</v>
      </c>
    </row>
    <row r="99" spans="23:37" x14ac:dyDescent="0.3">
      <c r="W99" cm="1">
        <f t="array" ref="W99">[1]!propssi("S","Q",0,"T",Y99,$W$1)/1000</f>
        <v>1.3772472554229509</v>
      </c>
      <c r="X99" cm="1">
        <f t="array" ref="X99">[1]!propssi("S","Q",1,"T",Y99,$W$1)/1000</f>
        <v>1.7721681567482219</v>
      </c>
      <c r="Y99">
        <v>369</v>
      </c>
      <c r="Z99" cm="1">
        <f t="array" ref="Z99">[1]!propssi("S","Q",0,"T",AB99,$Z$1)/1000</f>
        <v>1.4032623277452734</v>
      </c>
      <c r="AA99" cm="1">
        <f t="array" ref="AA99">[1]!propssi("S","Q",1,"T",AB99,$Z$1)/1000</f>
        <v>1.807333898705425</v>
      </c>
      <c r="AB99">
        <v>369</v>
      </c>
      <c r="AC99" cm="1">
        <f t="array" ref="AC99">[1]!propssi("S","Q",0,"T",AE99,$AC$1)/1000</f>
        <v>1.3799724089993353</v>
      </c>
      <c r="AD99" cm="1">
        <f t="array" ref="AD99">[1]!propssi("S","Q",1,"T",AE99,$AC$1)/1000</f>
        <v>1.7321158580431726</v>
      </c>
      <c r="AE99">
        <v>369</v>
      </c>
      <c r="AF99" cm="1">
        <f t="array" ref="AF99">[1]!propssi("S","Q",0,"T",AH99,$AF$1)/1000</f>
        <v>1.414533303810741</v>
      </c>
      <c r="AG99" cm="1">
        <f t="array" ref="AG99">[1]!propssi("S","Q",1,"T",AH99,$AF$1)/1000</f>
        <v>1.7866764421200199</v>
      </c>
      <c r="AH99">
        <v>369</v>
      </c>
      <c r="AI99" cm="1">
        <f t="array" ref="AI99">[1]!propssi("S","Q",0,"T",AK99,$AI$1)/1000</f>
        <v>1.4707143212447444</v>
      </c>
      <c r="AJ99" cm="1">
        <f t="array" ref="AJ99">[1]!propssi("S","Q",1,"T",AK99,$AI$1)/1000</f>
        <v>1.8464506219759129</v>
      </c>
      <c r="AK99">
        <v>369</v>
      </c>
    </row>
    <row r="100" spans="23:37" x14ac:dyDescent="0.3">
      <c r="W100" cm="1">
        <f t="array" ref="W100">[1]!propssi("S","Q",0,"T",Y100,$W$1)/1000</f>
        <v>1.3809565951987335</v>
      </c>
      <c r="X100" cm="1">
        <f t="array" ref="X100">[1]!propssi("S","Q",1,"T",Y100,$W$1)/1000</f>
        <v>1.7725825955175092</v>
      </c>
      <c r="Y100">
        <v>370</v>
      </c>
      <c r="Z100" cm="1">
        <f t="array" ref="Z100">[1]!propssi("S","Q",0,"T",AB100,$Z$1)/1000</f>
        <v>1.4074233628179644</v>
      </c>
      <c r="AA100" cm="1">
        <f t="array" ref="AA100">[1]!propssi("S","Q",1,"T",AB100,$Z$1)/1000</f>
        <v>1.8074225399920472</v>
      </c>
      <c r="AB100">
        <v>370</v>
      </c>
      <c r="AC100" cm="1">
        <f t="array" ref="AC100">[1]!propssi("S","Q",0,"T",AE100,$AC$1)/1000</f>
        <v>1.383706931428442</v>
      </c>
      <c r="AD100" cm="1">
        <f t="array" ref="AD100">[1]!propssi("S","Q",1,"T",AE100,$AC$1)/1000</f>
        <v>1.7330580631211836</v>
      </c>
      <c r="AE100">
        <v>370</v>
      </c>
      <c r="AF100" cm="1">
        <f t="array" ref="AF100">[1]!propssi("S","Q",0,"T",AH100,$AF$1)/1000</f>
        <v>1.4188534449242587</v>
      </c>
      <c r="AG100" cm="1">
        <f t="array" ref="AG100">[1]!propssi("S","Q",1,"T",AH100,$AF$1)/1000</f>
        <v>1.7864295912818127</v>
      </c>
      <c r="AH100">
        <v>370</v>
      </c>
      <c r="AI100" cm="1">
        <f t="array" ref="AI100">[1]!propssi("S","Q",0,"T",AK100,$AI$1)/1000</f>
        <v>1.474611149844741</v>
      </c>
      <c r="AJ100" cm="1">
        <f t="array" ref="AJ100">[1]!propssi("S","Q",1,"T",AK100,$AI$1)/1000</f>
        <v>1.8469055354737798</v>
      </c>
      <c r="AK100">
        <v>370</v>
      </c>
    </row>
    <row r="101" spans="23:37" x14ac:dyDescent="0.3">
      <c r="W101" cm="1">
        <f t="array" ref="W101">[1]!propssi("S","Q",0,"T",Y101,$W$1)/1000</f>
        <v>1.3846652062961544</v>
      </c>
      <c r="X101" cm="1">
        <f t="array" ref="X101">[1]!propssi("S","Q",1,"T",Y101,$W$1)/1000</f>
        <v>1.7729929437950387</v>
      </c>
      <c r="Y101">
        <v>371</v>
      </c>
      <c r="Z101" cm="1">
        <f t="array" ref="Z101">[1]!propssi("S","Q",0,"T",AB101,$Z$1)/1000</f>
        <v>1.41158897513598</v>
      </c>
      <c r="AA101" cm="1">
        <f t="array" ref="AA101">[1]!propssi("S","Q",1,"T",AB101,$Z$1)/1000</f>
        <v>1.8075026089104691</v>
      </c>
      <c r="AB101">
        <v>371</v>
      </c>
      <c r="AC101" cm="1">
        <f t="array" ref="AC101">[1]!propssi("S","Q",0,"T",AE101,$AC$1)/1000</f>
        <v>1.3874391522183847</v>
      </c>
      <c r="AD101" cm="1">
        <f t="array" ref="AD101">[1]!propssi("S","Q",1,"T",AE101,$AC$1)/1000</f>
        <v>1.7339973579378622</v>
      </c>
      <c r="AE101">
        <v>371</v>
      </c>
      <c r="AF101" cm="1">
        <f t="array" ref="AF101">[1]!propssi("S","Q",0,"T",AH101,$AF$1)/1000</f>
        <v>1.4231829115071708</v>
      </c>
      <c r="AG101" cm="1">
        <f t="array" ref="AG101">[1]!propssi("S","Q",1,"T",AH101,$AF$1)/1000</f>
        <v>1.7861623830828066</v>
      </c>
      <c r="AH101">
        <v>371</v>
      </c>
      <c r="AI101" cm="1">
        <f t="array" ref="AI101">[1]!propssi("S","Q",0,"T",AK101,$AI$1)/1000</f>
        <v>1.4785090723379906</v>
      </c>
      <c r="AJ101" cm="1">
        <f t="array" ref="AJ101">[1]!propssi("S","Q",1,"T",AK101,$AI$1)/1000</f>
        <v>1.8473546756397163</v>
      </c>
      <c r="AK101">
        <v>371</v>
      </c>
    </row>
    <row r="102" spans="23:37" x14ac:dyDescent="0.3">
      <c r="W102" cm="1">
        <f t="array" ref="W102">[1]!propssi("S","Q",0,"T",Y102,$W$1)/1000</f>
        <v>1.3883732705017666</v>
      </c>
      <c r="X102" cm="1">
        <f t="array" ref="X102">[1]!propssi("S","Q",1,"T",Y102,$W$1)/1000</f>
        <v>1.77339891121636</v>
      </c>
      <c r="Y102">
        <v>372</v>
      </c>
      <c r="Z102" cm="1">
        <f t="array" ref="Z102">[1]!propssi("S","Q",0,"T",AB102,$Z$1)/1000</f>
        <v>1.4157594991716778</v>
      </c>
      <c r="AA102" cm="1">
        <f t="array" ref="AA102">[1]!propssi("S","Q",1,"T",AB102,$Z$1)/1000</f>
        <v>1.807573591020774</v>
      </c>
      <c r="AB102">
        <v>372</v>
      </c>
      <c r="AC102" cm="1">
        <f t="array" ref="AC102">[1]!propssi("S","Q",0,"T",AE102,$AC$1)/1000</f>
        <v>1.3911691860102773</v>
      </c>
      <c r="AD102" cm="1">
        <f t="array" ref="AD102">[1]!propssi("S","Q",1,"T",AE102,$AC$1)/1000</f>
        <v>1.7349335200004468</v>
      </c>
      <c r="AE102">
        <v>372</v>
      </c>
      <c r="AF102" cm="1">
        <f t="array" ref="AF102">[1]!propssi("S","Q",0,"T",AH102,$AF$1)/1000</f>
        <v>1.4275223735320248</v>
      </c>
      <c r="AG102" cm="1">
        <f t="array" ref="AG102">[1]!propssi("S","Q",1,"T",AH102,$AF$1)/1000</f>
        <v>1.7858736453418298</v>
      </c>
      <c r="AH102">
        <v>372</v>
      </c>
      <c r="AI102" cm="1">
        <f t="array" ref="AI102">[1]!propssi("S","Q",0,"T",AK102,$AI$1)/1000</f>
        <v>1.4824083132440957</v>
      </c>
      <c r="AJ102" cm="1">
        <f t="array" ref="AJ102">[1]!propssi("S","Q",1,"T",AK102,$AI$1)/1000</f>
        <v>1.8477976721881075</v>
      </c>
      <c r="AK102">
        <v>372</v>
      </c>
    </row>
    <row r="103" spans="23:37" x14ac:dyDescent="0.3">
      <c r="W103" cm="1">
        <f t="array" ref="W103">[1]!propssi("S","Q",0,"T",Y103,$W$1)/1000</f>
        <v>1.3920809748466492</v>
      </c>
      <c r="X103" cm="1">
        <f t="array" ref="X103">[1]!propssi("S","Q",1,"T",Y103,$W$1)/1000</f>
        <v>1.7738001991042498</v>
      </c>
      <c r="Y103">
        <v>373</v>
      </c>
      <c r="Z103" cm="1">
        <f t="array" ref="Z103">[1]!propssi("S","Q",0,"T",AB103,$Z$1)/1000</f>
        <v>1.4199352851647091</v>
      </c>
      <c r="AA103" cm="1">
        <f t="array" ref="AA103">[1]!propssi("S","Q",1,"T",AB103,$Z$1)/1000</f>
        <v>1.8076349512818763</v>
      </c>
      <c r="AB103">
        <v>373</v>
      </c>
      <c r="AC103" cm="1">
        <f t="array" ref="AC103">[1]!propssi("S","Q",0,"T",AE103,$AC$1)/1000</f>
        <v>1.3948971507647372</v>
      </c>
      <c r="AD103" cm="1">
        <f t="array" ref="AD103">[1]!propssi("S","Q",1,"T",AE103,$AC$1)/1000</f>
        <v>1.7358663225547182</v>
      </c>
      <c r="AE103">
        <v>373</v>
      </c>
      <c r="AF103" cm="1">
        <f t="array" ref="AF103">[1]!propssi("S","Q",0,"T",AH103,$AF$1)/1000</f>
        <v>1.4318725460809003</v>
      </c>
      <c r="AG103" cm="1">
        <f t="array" ref="AG103">[1]!propssi("S","Q",1,"T",AH103,$AF$1)/1000</f>
        <v>1.7855621315893802</v>
      </c>
      <c r="AH103">
        <v>373</v>
      </c>
      <c r="AI103" cm="1">
        <f t="array" ref="AI103">[1]!propssi("S","Q",0,"T",AK103,$AI$1)/1000</f>
        <v>1.4863091058708364</v>
      </c>
      <c r="AJ103" cm="1">
        <f t="array" ref="AJ103">[1]!propssi("S","Q",1,"T",AK103,$AI$1)/1000</f>
        <v>1.8482341429328522</v>
      </c>
      <c r="AK103">
        <v>373</v>
      </c>
    </row>
    <row r="104" spans="23:37" x14ac:dyDescent="0.3">
      <c r="W104" cm="1">
        <f t="array" ref="W104">[1]!propssi("S","Q",0,"T",Y104,$W$1)/1000</f>
        <v>1.395788511897728</v>
      </c>
      <c r="X104" cm="1">
        <f t="array" ref="X104">[1]!propssi("S","Q",1,"T",Y104,$W$1)/1000</f>
        <v>1.7741964999701019</v>
      </c>
      <c r="Y104">
        <v>374</v>
      </c>
      <c r="Z104" cm="1">
        <f t="array" ref="Z104">[1]!propssi("S","Q",0,"T",AB104,$Z$1)/1000</f>
        <v>1.4241167002079844</v>
      </c>
      <c r="AA104" cm="1">
        <f t="array" ref="AA104">[1]!propssi("S","Q",1,"T",AB104,$Z$1)/1000</f>
        <v>1.8076861325027975</v>
      </c>
      <c r="AB104">
        <v>374</v>
      </c>
      <c r="AC104" cm="1">
        <f t="array" ref="AC104">[1]!propssi("S","Q",0,"T",AE104,$AC$1)/1000</f>
        <v>1.3986231679385943</v>
      </c>
      <c r="AD104" cm="1">
        <f t="array" ref="AD104">[1]!propssi("S","Q",1,"T",AE104,$AC$1)/1000</f>
        <v>1.7367955343062329</v>
      </c>
      <c r="AE104">
        <v>374</v>
      </c>
      <c r="AF104" cm="1">
        <f t="array" ref="AF104">[1]!propssi("S","Q",0,"T",AH104,$AF$1)/1000</f>
        <v>1.4362341939316494</v>
      </c>
      <c r="AG104" cm="1">
        <f t="array" ref="AG104">[1]!propssi("S","Q",1,"T",AH104,$AF$1)/1000</f>
        <v>1.7852265137500749</v>
      </c>
      <c r="AH104">
        <v>374</v>
      </c>
      <c r="AI104" cm="1">
        <f t="array" ref="AI104">[1]!propssi("S","Q",0,"T",AK104,$AI$1)/1000</f>
        <v>1.4902116928695814</v>
      </c>
      <c r="AJ104" cm="1">
        <f t="array" ref="AJ104">[1]!propssi("S","Q",1,"T",AK104,$AI$1)/1000</f>
        <v>1.8486636929775884</v>
      </c>
      <c r="AK104">
        <v>374</v>
      </c>
    </row>
    <row r="105" spans="23:37" x14ac:dyDescent="0.3">
      <c r="W105" cm="1">
        <f t="array" ref="W105">[1]!propssi("S","Q",0,"T",Y105,$W$1)/1000</f>
        <v>1.3994960800692851</v>
      </c>
      <c r="X105" cm="1">
        <f t="array" ref="X105">[1]!propssi("S","Q",1,"T",Y105,$W$1)/1000</f>
        <v>1.7745874969826536</v>
      </c>
      <c r="Y105">
        <v>375</v>
      </c>
      <c r="Z105" cm="1">
        <f t="array" ref="Z105">[1]!propssi("S","Q",0,"T",AB105,$Z$1)/1000</f>
        <v>1.4283041294308989</v>
      </c>
      <c r="AA105" cm="1">
        <f t="array" ref="AA105">[1]!propssi("S","Q",1,"T",AB105,$Z$1)/1000</f>
        <v>1.8077265536481635</v>
      </c>
      <c r="AB105">
        <v>375</v>
      </c>
      <c r="AC105" cm="1">
        <f t="array" ref="AC105">[1]!propssi("S","Q",0,"T",AE105,$AC$1)/1000</f>
        <v>1.4023473626733418</v>
      </c>
      <c r="AD105" cm="1">
        <f t="array" ref="AD105">[1]!propssi("S","Q",1,"T",AE105,$AC$1)/1000</f>
        <v>1.7377209191241314</v>
      </c>
      <c r="AE105">
        <v>375</v>
      </c>
      <c r="AF105" cm="1">
        <f t="array" ref="AF105">[1]!propssi("S","Q",0,"T",AH105,$AF$1)/1000</f>
        <v>1.4406081367485359</v>
      </c>
      <c r="AG105" cm="1">
        <f t="array" ref="AG105">[1]!propssi("S","Q",1,"T",AH105,$AF$1)/1000</f>
        <v>1.7848653738958291</v>
      </c>
      <c r="AH105">
        <v>375</v>
      </c>
      <c r="AI105" cm="1">
        <f t="array" ref="AI105">[1]!propssi("S","Q",0,"T",AK105,$AI$1)/1000</f>
        <v>1.4941163268354019</v>
      </c>
      <c r="AJ105" cm="1">
        <f t="array" ref="AJ105">[1]!propssi("S","Q",1,"T",AK105,$AI$1)/1000</f>
        <v>1.8490859242859279</v>
      </c>
      <c r="AK105">
        <v>375</v>
      </c>
    </row>
    <row r="106" spans="23:37" x14ac:dyDescent="0.3">
      <c r="W106" cm="1">
        <f t="array" ref="W106">[1]!propssi("S","Q",0,"T",Y106,$W$1)/1000</f>
        <v>1.4032038839564369</v>
      </c>
      <c r="X106" cm="1">
        <f t="array" ref="X106">[1]!propssi("S","Q",1,"T",Y106,$W$1)/1000</f>
        <v>1.7749728634012232</v>
      </c>
      <c r="Y106">
        <v>376</v>
      </c>
      <c r="Z106" cm="1">
        <f t="array" ref="Z106">[1]!propssi("S","Q",0,"T",AB106,$Z$1)/1000</f>
        <v>1.4324979772910107</v>
      </c>
      <c r="AA106" cm="1">
        <f t="array" ref="AA106">[1]!propssi("S","Q",1,"T",AB106,$Z$1)/1000</f>
        <v>1.8077556079805261</v>
      </c>
      <c r="AB106">
        <v>376</v>
      </c>
      <c r="AC106" cm="1">
        <f t="array" ref="AC106">[1]!propssi("S","Q",0,"T",AE106,$AC$1)/1000</f>
        <v>1.4060698639962688</v>
      </c>
      <c r="AD106" cm="1">
        <f t="array" ref="AD106">[1]!propssi("S","Q",1,"T",AE106,$AC$1)/1000</f>
        <v>1.7386422357260671</v>
      </c>
      <c r="AE106">
        <v>376</v>
      </c>
      <c r="AF106" cm="1">
        <f t="array" ref="AF106">[1]!propssi("S","Q",0,"T",AH106,$AF$1)/1000</f>
        <v>1.4449952549766811</v>
      </c>
      <c r="AG106" cm="1">
        <f t="array" ref="AG106">[1]!propssi("S","Q",1,"T",AH106,$AF$1)/1000</f>
        <v>1.7844771949211953</v>
      </c>
      <c r="AH106">
        <v>376</v>
      </c>
      <c r="AI106" cm="1">
        <f t="array" ref="AI106">[1]!propssi("S","Q",0,"T",AK106,$AI$1)/1000</f>
        <v>1.4980232709563452</v>
      </c>
      <c r="AJ106" cm="1">
        <f t="array" ref="AJ106">[1]!propssi("S","Q",1,"T",AK106,$AI$1)/1000</f>
        <v>1.8495003896166164</v>
      </c>
      <c r="AK106">
        <v>376</v>
      </c>
    </row>
    <row r="107" spans="23:37" x14ac:dyDescent="0.3">
      <c r="W107" cm="1">
        <f t="array" ref="W107">[1]!propssi("S","Q",0,"T",Y107,$W$1)/1000</f>
        <v>1.4069121346925726</v>
      </c>
      <c r="X107" cm="1">
        <f t="array" ref="X107">[1]!propssi("S","Q",1,"T",Y107,$W$1)/1000</f>
        <v>1.7753522619703912</v>
      </c>
      <c r="Y107">
        <v>377</v>
      </c>
      <c r="Z107" cm="1">
        <f t="array" ref="Z107">[1]!propssi("S","Q",0,"T",AB107,$Z$1)/1000</f>
        <v>1.4366986689869985</v>
      </c>
      <c r="AA107" cm="1">
        <f t="array" ref="AA107">[1]!propssi("S","Q",1,"T",AB107,$Z$1)/1000</f>
        <v>1.8077726610197176</v>
      </c>
      <c r="AB107">
        <v>377</v>
      </c>
      <c r="AC107" cm="1">
        <f t="array" ref="AC107">[1]!propssi("S","Q",0,"T",AE107,$AC$1)/1000</f>
        <v>1.4097908050353423</v>
      </c>
      <c r="AD107" cm="1">
        <f t="array" ref="AD107">[1]!propssi("S","Q",1,"T",AE107,$AC$1)/1000</f>
        <v>1.7395592373426985</v>
      </c>
      <c r="AE107">
        <v>377</v>
      </c>
      <c r="AF107" cm="1">
        <f t="array" ref="AF107">[1]!propssi("S","Q",0,"T",AH107,$AF$1)/1000</f>
        <v>1.4493964965596156</v>
      </c>
      <c r="AG107" cm="1">
        <f t="array" ref="AG107">[1]!propssi("S","Q",1,"T",AH107,$AF$1)/1000</f>
        <v>1.7840603499636254</v>
      </c>
      <c r="AH107">
        <v>377</v>
      </c>
      <c r="AI107" cm="1">
        <f t="array" ref="AI107">[1]!propssi("S","Q",0,"T",AK107,$AI$1)/1000</f>
        <v>1.5019327997030503</v>
      </c>
      <c r="AJ107" cm="1">
        <f t="array" ref="AJ107">[1]!propssi("S","Q",1,"T",AK107,$AI$1)/1000</f>
        <v>1.8499066633546282</v>
      </c>
      <c r="AK107">
        <v>377</v>
      </c>
    </row>
    <row r="108" spans="23:37" x14ac:dyDescent="0.3">
      <c r="W108" cm="1">
        <f t="array" ref="W108">[1]!propssi("S","Q",0,"T",Y108,$W$1)/1000</f>
        <v>1.4106210503329268</v>
      </c>
      <c r="X108" cm="1">
        <f t="array" ref="X108">[1]!propssi("S","Q",1,"T",Y108,$W$1)/1000</f>
        <v>1.7757253442726557</v>
      </c>
      <c r="Y108">
        <v>378</v>
      </c>
      <c r="Z108" cm="1">
        <f t="array" ref="Z108">[1]!propssi("S","Q",0,"T",AB108,$Z$1)/1000</f>
        <v>1.4409066520075446</v>
      </c>
      <c r="AA108" cm="1">
        <f t="array" ref="AA108">[1]!propssi("S","Q",1,"T",AB108,$Z$1)/1000</f>
        <v>1.8077770482965787</v>
      </c>
      <c r="AB108">
        <v>378</v>
      </c>
      <c r="AC108" cm="1">
        <f t="array" ref="AC108">[1]!propssi("S","Q",0,"T",AE108,$AC$1)/1000</f>
        <v>1.4135103232489861</v>
      </c>
      <c r="AD108" cm="1">
        <f t="array" ref="AD108">[1]!propssi("S","Q",1,"T",AE108,$AC$1)/1000</f>
        <v>1.7404716713600368</v>
      </c>
      <c r="AE108">
        <v>378</v>
      </c>
      <c r="AF108" cm="1">
        <f t="array" ref="AF108">[1]!propssi("S","Q",0,"T",AH108,$AF$1)/1000</f>
        <v>1.4538128846236165</v>
      </c>
      <c r="AG108" cm="1">
        <f t="array" ref="AG108">[1]!propssi("S","Q",1,"T",AH108,$AF$1)/1000</f>
        <v>1.7836130903556064</v>
      </c>
      <c r="AH108">
        <v>378</v>
      </c>
      <c r="AI108" cm="1">
        <f t="array" ref="AI108">[1]!propssi("S","Q",0,"T",AK108,$AI$1)/1000</f>
        <v>1.5058451996456685</v>
      </c>
      <c r="AJ108" cm="1">
        <f t="array" ref="AJ108">[1]!propssi("S","Q",1,"T",AK108,$AI$1)/1000</f>
        <v>1.8503042901601776</v>
      </c>
      <c r="AK108">
        <v>378</v>
      </c>
    </row>
    <row r="109" spans="23:37" x14ac:dyDescent="0.3">
      <c r="W109" cm="1">
        <f t="array" ref="W109">[1]!propssi("S","Q",0,"T",Y109,$W$1)/1000</f>
        <v>1.4143308562667165</v>
      </c>
      <c r="X109" cm="1">
        <f t="array" ref="X109">[1]!propssi("S","Q",1,"T",Y109,$W$1)/1000</f>
        <v>1.7760917500353401</v>
      </c>
      <c r="Y109">
        <v>379</v>
      </c>
      <c r="Z109" cm="1">
        <f t="array" ref="Z109">[1]!propssi("S","Q",0,"T",AB109,$Z$1)/1000</f>
        <v>1.4451223978330272</v>
      </c>
      <c r="AA109" cm="1">
        <f t="array" ref="AA109">[1]!propssi("S","Q",1,"T",AB109,$Z$1)/1000</f>
        <v>1.8077680728749632</v>
      </c>
      <c r="AB109">
        <v>379</v>
      </c>
      <c r="AC109" cm="1">
        <f t="array" ref="AC109">[1]!propssi("S","Q",0,"T",AE109,$AC$1)/1000</f>
        <v>1.4172285606720205</v>
      </c>
      <c r="AD109" cm="1">
        <f t="array" ref="AD109">[1]!propssi("S","Q",1,"T",AE109,$AC$1)/1000</f>
        <v>1.7413792789377101</v>
      </c>
      <c r="AE109">
        <v>379</v>
      </c>
      <c r="AF109" cm="1">
        <f t="array" ref="AF109">[1]!propssi("S","Q",0,"T",AH109,$AF$1)/1000</f>
        <v>1.4582455263030736</v>
      </c>
      <c r="AG109" cm="1">
        <f t="array" ref="AG109">[1]!propssi("S","Q",1,"T",AH109,$AF$1)/1000</f>
        <v>1.7831335318517636</v>
      </c>
      <c r="AH109">
        <v>379</v>
      </c>
      <c r="AI109" cm="1">
        <f t="array" ref="AI109">[1]!propssi("S","Q",0,"T",AK109,$AI$1)/1000</f>
        <v>1.5097607702074562</v>
      </c>
      <c r="AJ109" cm="1">
        <f t="array" ref="AJ109">[1]!propssi("S","Q",1,"T",AK109,$AI$1)/1000</f>
        <v>1.8506927968179689</v>
      </c>
      <c r="AK109">
        <v>379</v>
      </c>
    </row>
    <row r="110" spans="23:37" x14ac:dyDescent="0.3">
      <c r="W110" cm="1">
        <f t="array" ref="W110">[1]!propssi("S","Q",0,"T",Y110,$W$1)/1000</f>
        <v>1.4180417856605523</v>
      </c>
      <c r="X110" cm="1">
        <f t="array" ref="X110">[1]!propssi("S","Q",1,"T",Y110,$W$1)/1000</f>
        <v>1.7764511063875457</v>
      </c>
      <c r="Y110">
        <v>380</v>
      </c>
      <c r="Z110" cm="1">
        <f t="array" ref="Z110">[1]!propssi("S","Q",0,"T",AB110,$Z$1)/1000</f>
        <v>1.4493464038093096</v>
      </c>
      <c r="AA110" cm="1">
        <f t="array" ref="AA110">[1]!propssi("S","Q",1,"T",AB110,$Z$1)/1000</f>
        <v>1.807745002611947</v>
      </c>
      <c r="AB110">
        <v>380</v>
      </c>
      <c r="AC110" cm="1">
        <f t="array" ref="AC110">[1]!propssi("S","Q",0,"T",AE110,$AC$1)/1000</f>
        <v>1.4209456641791949</v>
      </c>
      <c r="AD110" cm="1">
        <f t="array" ref="AD110">[1]!propssi("S","Q",1,"T",AE110,$AC$1)/1000</f>
        <v>1.7422817946011251</v>
      </c>
      <c r="AE110">
        <v>380</v>
      </c>
      <c r="AF110" cm="1">
        <f t="array" ref="AF110">[1]!propssi("S","Q",0,"T",AH110,$AF$1)/1000</f>
        <v>1.4626956229191517</v>
      </c>
      <c r="AG110" cm="1">
        <f t="array" ref="AG110">[1]!propssi("S","Q",1,"T",AH110,$AF$1)/1000</f>
        <v>1.7826196388190827</v>
      </c>
      <c r="AH110">
        <v>380</v>
      </c>
      <c r="AI110" cm="1">
        <f t="array" ref="AI110">[1]!propssi("S","Q",0,"T",AK110,$AI$1)/1000</f>
        <v>1.5136798246176379</v>
      </c>
      <c r="AJ110" cm="1">
        <f t="array" ref="AJ110">[1]!propssi("S","Q",1,"T",AK110,$AI$1)/1000</f>
        <v>1.8510716909287919</v>
      </c>
      <c r="AK110">
        <v>380</v>
      </c>
    </row>
    <row r="111" spans="23:37" x14ac:dyDescent="0.3">
      <c r="W111" cm="1">
        <f t="array" ref="W111">[1]!propssi("S","Q",0,"T",Y111,$W$1)/1000</f>
        <v>1.421754079936125</v>
      </c>
      <c r="X111" cm="1">
        <f t="array" ref="X111">[1]!propssi("S","Q",1,"T",Y111,$W$1)/1000</f>
        <v>1.7768030270625292</v>
      </c>
      <c r="Y111">
        <v>381</v>
      </c>
      <c r="Z111" cm="1">
        <f t="array" ref="Z111">[1]!propssi("S","Q",0,"T",AB111,$Z$1)/1000</f>
        <v>1.4535791952161474</v>
      </c>
      <c r="AA111" cm="1">
        <f t="array" ref="AA111">[1]!propssi("S","Q",1,"T",AB111,$Z$1)/1000</f>
        <v>1.8077070671216</v>
      </c>
      <c r="AB111">
        <v>381</v>
      </c>
      <c r="AC111" cm="1">
        <f t="array" ref="AC111">[1]!propssi("S","Q",0,"T",AE111,$AC$1)/1000</f>
        <v>1.4246617857678057</v>
      </c>
      <c r="AD111" cm="1">
        <f t="array" ref="AD111">[1]!propssi("S","Q",1,"T",AE111,$AC$1)/1000</f>
        <v>1.7431789458051548</v>
      </c>
      <c r="AE111">
        <v>381</v>
      </c>
      <c r="AF111" cm="1">
        <f t="array" ref="AF111">[1]!propssi("S","Q",0,"T",AH111,$AF$1)/1000</f>
        <v>1.4671644817720977</v>
      </c>
      <c r="AG111" cm="1">
        <f t="array" ref="AG111">[1]!propssi("S","Q",1,"T",AH111,$AF$1)/1000</f>
        <v>1.7820692060094081</v>
      </c>
      <c r="AH111">
        <v>381</v>
      </c>
      <c r="AI111" cm="1">
        <f t="array" ref="AI111">[1]!propssi("S","Q",0,"T",AK111,$AI$1)/1000</f>
        <v>1.5176026908855904</v>
      </c>
      <c r="AJ111" cm="1">
        <f t="array" ref="AJ111">[1]!propssi("S","Q",1,"T",AK111,$AI$1)/1000</f>
        <v>1.8514404594842535</v>
      </c>
      <c r="AK111">
        <v>381</v>
      </c>
    </row>
    <row r="112" spans="23:37" x14ac:dyDescent="0.3">
      <c r="W112" cm="1">
        <f t="array" ref="W112">[1]!propssi("S","Q",0,"T",Y112,$W$1)/1000</f>
        <v>1.4254679892855344</v>
      </c>
      <c r="X112" cm="1">
        <f t="array" ref="X112">[1]!propssi("S","Q",1,"T",Y112,$W$1)/1000</f>
        <v>1.7771471115403554</v>
      </c>
      <c r="Y112">
        <v>382</v>
      </c>
      <c r="Z112" cm="1">
        <f t="array" ref="Z112">[1]!propssi("S","Q",0,"T",AB112,$Z$1)/1000</f>
        <v>1.4578213275560674</v>
      </c>
      <c r="AA112" cm="1">
        <f t="array" ref="AA112">[1]!propssi("S","Q",1,"T",AB112,$Z$1)/1000</f>
        <v>1.8076534544019351</v>
      </c>
      <c r="AB112">
        <v>382</v>
      </c>
      <c r="AC112" cm="1">
        <f t="array" ref="AC112">[1]!propssi("S","Q",0,"T",AE112,$AC$1)/1000</f>
        <v>1.4283770828611528</v>
      </c>
      <c r="AD112" cm="1">
        <f t="array" ref="AD112">[1]!propssi("S","Q",1,"T",AE112,$AC$1)/1000</f>
        <v>1.7440704524668853</v>
      </c>
      <c r="AE112">
        <v>382</v>
      </c>
      <c r="AF112" cm="1">
        <f t="array" ref="AF112">[1]!propssi("S","Q",0,"T",AH112,$AF$1)/1000</f>
        <v>1.4716535298684312</v>
      </c>
      <c r="AG112" cm="1">
        <f t="array" ref="AG112">[1]!propssi("S","Q",1,"T",AH112,$AF$1)/1000</f>
        <v>1.7814798374464047</v>
      </c>
      <c r="AH112">
        <v>382</v>
      </c>
      <c r="AI112" cm="1">
        <f t="array" ref="AI112">[1]!propssi("S","Q",0,"T",AK112,$AI$1)/1000</f>
        <v>1.521529712878223</v>
      </c>
      <c r="AJ112" cm="1">
        <f t="array" ref="AJ112">[1]!propssi("S","Q",1,"T",AK112,$AI$1)/1000</f>
        <v>1.8517985673121613</v>
      </c>
      <c r="AK112">
        <v>382</v>
      </c>
    </row>
    <row r="113" spans="23:37" x14ac:dyDescent="0.3">
      <c r="W113" cm="1">
        <f t="array" ref="W113">[1]!propssi("S","Q",0,"T",Y113,$W$1)/1000</f>
        <v>1.4291837732280082</v>
      </c>
      <c r="X113" cm="1">
        <f t="array" ref="X113">[1]!propssi("S","Q",1,"T",Y113,$W$1)/1000</f>
        <v>1.7774829441251319</v>
      </c>
      <c r="Y113">
        <v>383</v>
      </c>
      <c r="Z113" cm="1">
        <f t="array" ref="Z113">[1]!propssi("S","Q",0,"T",AB113,$Z$1)/1000</f>
        <v>1.4620733890939968</v>
      </c>
      <c r="AA113" cm="1">
        <f t="array" ref="AA113">[1]!propssi("S","Q",1,"T",AB113,$Z$1)/1000</f>
        <v>1.8075833070782956</v>
      </c>
      <c r="AB113">
        <v>383</v>
      </c>
      <c r="AC113" cm="1">
        <f t="array" ref="AC113">[1]!propssi("S","Q",0,"T",AE113,$AC$1)/1000</f>
        <v>1.4320917186346871</v>
      </c>
      <c r="AD113" cm="1">
        <f t="array" ref="AD113">[1]!propssi("S","Q",1,"T",AE113,$AC$1)/1000</f>
        <v>1.7449560264645556</v>
      </c>
      <c r="AE113">
        <v>383</v>
      </c>
      <c r="AF113" cm="1">
        <f t="array" ref="AF113">[1]!propssi("S","Q",0,"T",AH113,$AF$1)/1000</f>
        <v>1.4761643299822695</v>
      </c>
      <c r="AG113" cm="1">
        <f t="array" ref="AG113">[1]!propssi("S","Q",1,"T",AH113,$AF$1)/1000</f>
        <v>1.7808489218481833</v>
      </c>
      <c r="AH113">
        <v>383</v>
      </c>
      <c r="AI113" cm="1">
        <f t="array" ref="AI113">[1]!propssi("S","Q",0,"T",AK113,$AI$1)/1000</f>
        <v>1.5254612514994952</v>
      </c>
      <c r="AJ113" cm="1">
        <f t="array" ref="AJ113">[1]!propssi("S","Q",1,"T",AK113,$AI$1)/1000</f>
        <v>1.8521454553772954</v>
      </c>
      <c r="AK113">
        <v>383</v>
      </c>
    </row>
    <row r="114" spans="23:37" x14ac:dyDescent="0.3">
      <c r="W114" cm="1">
        <f t="array" ref="W114">[1]!propssi("S","Q",0,"T",Y114,$W$1)/1000</f>
        <v>1.4329017012122216</v>
      </c>
      <c r="X114" cm="1">
        <f t="array" ref="X114">[1]!propssi("S","Q",1,"T",Y114,$W$1)/1000</f>
        <v>1.7778100929504144</v>
      </c>
      <c r="Y114">
        <v>384</v>
      </c>
      <c r="Z114" cm="1">
        <f t="array" ref="Z114">[1]!propssi("S","Q",0,"T",AB114,$Z$1)/1000</f>
        <v>1.4663360036828681</v>
      </c>
      <c r="AA114" cm="1">
        <f t="array" ref="AA114">[1]!propssi("S","Q",1,"T",AB114,$Z$1)/1000</f>
        <v>1.807495718208417</v>
      </c>
      <c r="AB114">
        <v>384</v>
      </c>
      <c r="AC114" cm="1">
        <f t="array" ref="AC114">[1]!propssi("S","Q",0,"T",AE114,$AC$1)/1000</f>
        <v>1.4358058623669638</v>
      </c>
      <c r="AD114" cm="1">
        <f t="array" ref="AD114">[1]!propssi("S","Q",1,"T",AE114,$AC$1)/1000</f>
        <v>1.7458353710996113</v>
      </c>
      <c r="AE114">
        <v>384</v>
      </c>
      <c r="AF114" cm="1">
        <f t="array" ref="AF114">[1]!propssi("S","Q",0,"T",AH114,$AF$1)/1000</f>
        <v>1.4806985995504827</v>
      </c>
      <c r="AG114" cm="1">
        <f t="array" ref="AG114">[1]!propssi("S","Q",1,"T",AH114,$AF$1)/1000</f>
        <v>1.7801736038644616</v>
      </c>
      <c r="AH114">
        <v>384</v>
      </c>
      <c r="AI114" cm="1">
        <f t="array" ref="AI114">[1]!propssi("S","Q",0,"T",AK114,$AI$1)/1000</f>
        <v>1.5293976859842484</v>
      </c>
      <c r="AJ114" cm="1">
        <f t="array" ref="AJ114">[1]!propssi("S","Q",1,"T",AK114,$AI$1)/1000</f>
        <v>1.8524805389209891</v>
      </c>
      <c r="AK114">
        <v>384</v>
      </c>
    </row>
    <row r="115" spans="23:37" x14ac:dyDescent="0.3">
      <c r="W115" cm="1">
        <f t="array" ref="W115">[1]!propssi("S","Q",0,"T",Y115,$W$1)/1000</f>
        <v>1.4366220532689484</v>
      </c>
      <c r="X115" cm="1">
        <f t="array" ref="X115">[1]!propssi("S","Q",1,"T",Y115,$W$1)/1000</f>
        <v>1.7781281089057066</v>
      </c>
      <c r="Y115">
        <v>385</v>
      </c>
      <c r="Z115" cm="1">
        <f t="array" ref="Z115">[1]!propssi("S","Q",0,"T",AB115,$Z$1)/1000</f>
        <v>1.4706098339165528</v>
      </c>
      <c r="AA115" cm="1">
        <f t="array" ref="AA115">[1]!propssi("S","Q",1,"T",AB115,$Z$1)/1000</f>
        <v>1.8073897265851018</v>
      </c>
      <c r="AB115">
        <v>385</v>
      </c>
      <c r="AC115" cm="1">
        <f t="array" ref="AC115">[1]!propssi("S","Q",0,"T",AE115,$AC$1)/1000</f>
        <v>1.4395196898177047</v>
      </c>
      <c r="AD115" cm="1">
        <f t="array" ref="AD115">[1]!propssi("S","Q",1,"T",AE115,$AC$1)/1000</f>
        <v>1.7467081805184232</v>
      </c>
      <c r="AE115">
        <v>385</v>
      </c>
      <c r="AF115" cm="1">
        <f t="array" ref="AF115">[1]!propssi("S","Q",0,"T",AH115,$AF$1)/1000</f>
        <v>1.4852582330321158</v>
      </c>
      <c r="AG115" cm="1">
        <f t="array" ref="AG115">[1]!propssi("S","Q",1,"T",AH115,$AF$1)/1000</f>
        <v>1.779450750222686</v>
      </c>
      <c r="AH115">
        <v>385</v>
      </c>
      <c r="AI115" cm="1">
        <f t="array" ref="AI115">[1]!propssi("S","Q",0,"T",AK115,$AI$1)/1000</f>
        <v>1.5333394153202939</v>
      </c>
      <c r="AJ115" cm="1">
        <f t="array" ref="AJ115">[1]!propssi("S","Q",1,"T",AK115,$AI$1)/1000</f>
        <v>1.8528032054208683</v>
      </c>
      <c r="AK115">
        <v>385</v>
      </c>
    </row>
    <row r="116" spans="23:37" x14ac:dyDescent="0.3">
      <c r="W116" cm="1">
        <f t="array" ref="W116">[1]!propssi("S","Q",0,"T",Y116,$W$1)/1000</f>
        <v>1.4403451207193387</v>
      </c>
      <c r="X116" cm="1">
        <f t="array" ref="X116">[1]!propssi("S","Q",1,"T",Y116,$W$1)/1000</f>
        <v>1.7784365244760545</v>
      </c>
      <c r="Y116">
        <v>386</v>
      </c>
      <c r="Z116" cm="1">
        <f t="array" ref="Z116">[1]!propssi("S","Q",0,"T",AB116,$Z$1)/1000</f>
        <v>1.4748955846587462</v>
      </c>
      <c r="AA116" cm="1">
        <f t="array" ref="AA116">[1]!propssi("S","Q",1,"T",AB116,$Z$1)/1000</f>
        <v>1.8072643114611315</v>
      </c>
      <c r="AB116">
        <v>386</v>
      </c>
      <c r="AC116" cm="1">
        <f t="array" ref="AC116">[1]!propssi("S","Q",0,"T",AE116,$AC$1)/1000</f>
        <v>1.4432333836355549</v>
      </c>
      <c r="AD116" cm="1">
        <f t="array" ref="AD116">[1]!propssi("S","Q",1,"T",AE116,$AC$1)/1000</f>
        <v>1.7475741390898309</v>
      </c>
      <c r="AE116">
        <v>386</v>
      </c>
      <c r="AF116" cm="1">
        <f t="array" ref="AF116">[1]!propssi("S","Q",0,"T",AH116,$AF$1)/1000</f>
        <v>1.489845328534152</v>
      </c>
      <c r="AG116" cm="1">
        <f t="array" ref="AG116">[1]!propssi("S","Q",1,"T",AH116,$AF$1)/1000</f>
        <v>1.7786769096367068</v>
      </c>
      <c r="AH116">
        <v>386</v>
      </c>
      <c r="AI116" cm="1">
        <f t="array" ref="AI116">[1]!propssi("S","Q",0,"T",AK116,$AI$1)/1000</f>
        <v>1.5372868598147573</v>
      </c>
      <c r="AJ116" cm="1">
        <f t="array" ref="AJ116">[1]!propssi("S","Q",1,"T",AK116,$AI$1)/1000</f>
        <v>1.8531128123486524</v>
      </c>
      <c r="AK116">
        <v>386</v>
      </c>
    </row>
    <row r="117" spans="23:37" x14ac:dyDescent="0.3">
      <c r="W117" cm="1">
        <f t="array" ref="W117">[1]!propssi("S","Q",0,"T",Y117,$W$1)/1000</f>
        <v>1.4440712069448318</v>
      </c>
      <c r="X117" cm="1">
        <f t="array" ref="X117">[1]!propssi("S","Q",1,"T",Y117,$W$1)/1000</f>
        <v>1.7787348524858244</v>
      </c>
      <c r="Y117">
        <v>387</v>
      </c>
      <c r="Z117" cm="1">
        <f t="array" ref="Z117">[1]!propssi("S","Q",0,"T",AB117,$Z$1)/1000</f>
        <v>1.479194007005306</v>
      </c>
      <c r="AA117" cm="1">
        <f t="array" ref="AA117">[1]!propssi("S","Q",1,"T",AB117,$Z$1)/1000</f>
        <v>1.8071183866074036</v>
      </c>
      <c r="AB117">
        <v>387</v>
      </c>
      <c r="AC117" cm="1">
        <f t="array" ref="AC117">[1]!propssi("S","Q",0,"T",AE117,$AC$1)/1000</f>
        <v>1.4469471337983972</v>
      </c>
      <c r="AD117" cm="1">
        <f t="array" ref="AD117">[1]!propssi("S","Q",1,"T",AE117,$AC$1)/1000</f>
        <v>1.7484329207342262</v>
      </c>
      <c r="AE117">
        <v>387</v>
      </c>
      <c r="AF117" cm="1">
        <f t="array" ref="AF117">[1]!propssi("S","Q",0,"T",AH117,$AF$1)/1000</f>
        <v>1.4944622197332307</v>
      </c>
      <c r="AG117" cm="1">
        <f t="array" ref="AG117">[1]!propssi("S","Q",1,"T",AH117,$AF$1)/1000</f>
        <v>1.7778482650134504</v>
      </c>
      <c r="AH117">
        <v>387</v>
      </c>
      <c r="AI117" cm="1">
        <f t="array" ref="AI117">[1]!propssi("S","Q",0,"T",AK117,$AI$1)/1000</f>
        <v>1.5412404628231089</v>
      </c>
      <c r="AJ117" cm="1">
        <f t="array" ref="AJ117">[1]!propssi("S","Q",1,"T",AK117,$AI$1)/1000</f>
        <v>1.853408684701602</v>
      </c>
      <c r="AK117">
        <v>387</v>
      </c>
    </row>
    <row r="118" spans="23:37" x14ac:dyDescent="0.3">
      <c r="W118" cm="1">
        <f t="array" ref="W118">[1]!propssi("S","Q",0,"T",Y118,$W$1)/1000</f>
        <v>1.4478006282254461</v>
      </c>
      <c r="X118" cm="1">
        <f t="array" ref="X118">[1]!propssi("S","Q",1,"T",Y118,$W$1)/1000</f>
        <v>1.7790225847366297</v>
      </c>
      <c r="Y118">
        <v>388</v>
      </c>
      <c r="Z118" cm="1">
        <f t="array" ref="Z118">[1]!propssi("S","Q",0,"T",AB118,$Z$1)/1000</f>
        <v>1.4835059027482476</v>
      </c>
      <c r="AA118" cm="1">
        <f t="array" ref="AA118">[1]!propssi("S","Q",1,"T",AB118,$Z$1)/1000</f>
        <v>1.8069507935987592</v>
      </c>
      <c r="AB118">
        <v>388</v>
      </c>
      <c r="AC118" cm="1">
        <f t="array" ref="AC118">[1]!propssi("S","Q",0,"T",AE118,$AC$1)/1000</f>
        <v>1.4506611380894474</v>
      </c>
      <c r="AD118" cm="1">
        <f t="array" ref="AD118">[1]!propssi("S","Q",1,"T",AE118,$AC$1)/1000</f>
        <v>1.7492841881994499</v>
      </c>
      <c r="AE118">
        <v>388</v>
      </c>
      <c r="AF118" cm="1">
        <f t="array" ref="AF118">[1]!propssi("S","Q",0,"T",AH118,$AF$1)/1000</f>
        <v>1.4991115144280944</v>
      </c>
      <c r="AG118" cm="1">
        <f t="array" ref="AG118">[1]!propssi("S","Q",1,"T",AH118,$AF$1)/1000</f>
        <v>1.7769605760688427</v>
      </c>
      <c r="AH118">
        <v>388</v>
      </c>
      <c r="AI118" cm="1">
        <f t="array" ref="AI118">[1]!propssi("S","Q",0,"T",AK118,$AI$1)/1000</f>
        <v>1.5452006926621251</v>
      </c>
      <c r="AJ118" cm="1">
        <f t="array" ref="AJ118">[1]!propssi("S","Q",1,"T",AK118,$AI$1)/1000</f>
        <v>1.8536901122788927</v>
      </c>
      <c r="AK118">
        <v>388</v>
      </c>
    </row>
    <row r="119" spans="23:37" x14ac:dyDescent="0.3">
      <c r="W119" cm="1">
        <f t="array" ref="W119">[1]!propssi("S","Q",0,"T",Y119,$W$1)/1000</f>
        <v>1.4515337146541378</v>
      </c>
      <c r="X119" cm="1">
        <f t="array" ref="X119">[1]!propssi("S","Q",1,"T",Y119,$W$1)/1000</f>
        <v>1.7792991905281048</v>
      </c>
      <c r="Y119">
        <v>389</v>
      </c>
      <c r="Z119" cm="1">
        <f t="array" ref="Z119">[1]!propssi("S","Q",0,"T",AB119,$Z$1)/1000</f>
        <v>1.4878321294227363</v>
      </c>
      <c r="AA119" cm="1">
        <f t="array" ref="AA119">[1]!propssi("S","Q",1,"T",AB119,$Z$1)/1000</f>
        <v>1.806760294201736</v>
      </c>
      <c r="AB119">
        <v>389</v>
      </c>
      <c r="AC119" cm="1">
        <f t="array" ref="AC119">[1]!propssi("S","Q",0,"T",AE119,$AC$1)/1000</f>
        <v>1.4543756026126813</v>
      </c>
      <c r="AD119" cm="1">
        <f t="array" ref="AD119">[1]!propssi("S","Q",1,"T",AE119,$AC$1)/1000</f>
        <v>1.7501275922781536</v>
      </c>
      <c r="AE119">
        <v>389</v>
      </c>
      <c r="AF119" cm="1">
        <f t="array" ref="AF119">[1]!propssi("S","Q",0,"T",AH119,$AF$1)/1000</f>
        <v>1.5037961414712591</v>
      </c>
      <c r="AG119" cm="1">
        <f t="array" ref="AG119">[1]!propssi("S","Q",1,"T",AH119,$AF$1)/1000</f>
        <v>1.7760091098917288</v>
      </c>
      <c r="AH119">
        <v>389</v>
      </c>
      <c r="AI119" cm="1">
        <f t="array" ref="AI119">[1]!propssi("S","Q",0,"T",AK119,$AI$1)/1000</f>
        <v>1.5491680447314176</v>
      </c>
      <c r="AJ119" cm="1">
        <f t="array" ref="AJ119">[1]!propssi("S","Q",1,"T",AK119,$AI$1)/1000</f>
        <v>1.8539563466689035</v>
      </c>
      <c r="AK119">
        <v>389</v>
      </c>
    </row>
    <row r="120" spans="23:37" x14ac:dyDescent="0.3">
      <c r="W120" cm="1">
        <f t="array" ref="W120">[1]!propssi("S","Q",0,"T",Y120,$W$1)/1000</f>
        <v>1.4552708111358765</v>
      </c>
      <c r="X120" cm="1">
        <f t="array" ref="X120">[1]!propssi("S","Q",1,"T",Y120,$W$1)/1000</f>
        <v>1.779564115048728</v>
      </c>
      <c r="Y120">
        <v>390</v>
      </c>
      <c r="Z120" cm="1">
        <f t="array" ref="Z120">[1]!propssi("S","Q",0,"T",AB120,$Z$1)/1000</f>
        <v>1.4921736060345696</v>
      </c>
      <c r="AA120" cm="1">
        <f t="array" ref="AA120">[1]!propssi("S","Q",1,"T",AB120,$Z$1)/1000</f>
        <v>1.8065455617138655</v>
      </c>
      <c r="AB120">
        <v>390</v>
      </c>
      <c r="AC120" cm="1">
        <f t="array" ref="AC120">[1]!propssi("S","Q",0,"T",AE120,$AC$1)/1000</f>
        <v>1.4580907423516329</v>
      </c>
      <c r="AD120" cm="1">
        <f t="array" ref="AD120">[1]!propssi("S","Q",1,"T",AE120,$AC$1)/1000</f>
        <v>1.7509627709606992</v>
      </c>
      <c r="AE120">
        <v>390</v>
      </c>
      <c r="AF120" cm="1">
        <f t="array" ref="AF120">[1]!propssi("S","Q",0,"T",AH120,$AF$1)/1000</f>
        <v>1.508519408396767</v>
      </c>
      <c r="AG120" cm="1">
        <f t="array" ref="AG120">[1]!propssi("S","Q",1,"T",AH120,$AF$1)/1000</f>
        <v>1.7749885562122345</v>
      </c>
      <c r="AH120">
        <v>390</v>
      </c>
      <c r="AI120" cm="1">
        <f t="array" ref="AI120">[1]!propssi("S","Q",0,"T",AK120,$AI$1)/1000</f>
        <v>1.5531430438721061</v>
      </c>
      <c r="AJ120" cm="1">
        <f t="array" ref="AJ120">[1]!propssi("S","Q",1,"T",AK120,$AI$1)/1000</f>
        <v>1.8542065979076181</v>
      </c>
      <c r="AK120">
        <v>390</v>
      </c>
    </row>
    <row r="121" spans="23:37" x14ac:dyDescent="0.3">
      <c r="W121" cm="1">
        <f t="array" ref="W121">[1]!propssi("S","Q",0,"T",Y121,$W$1)/1000</f>
        <v>1.4590122784813726</v>
      </c>
      <c r="X121" cm="1">
        <f t="array" ref="X121">[1]!propssi("S","Q",1,"T",Y121,$W$1)/1000</f>
        <v>1.779816777622315</v>
      </c>
      <c r="Y121">
        <v>391</v>
      </c>
      <c r="Z121" cm="1">
        <f t="array" ref="Z121">[1]!propssi("S","Q",0,"T",AB121,$Z$1)/1000</f>
        <v>1.4965313195854666</v>
      </c>
      <c r="AA121" cm="1">
        <f t="array" ref="AA121">[1]!propssi("S","Q",1,"T",AB121,$Z$1)/1000</f>
        <v>1.806305171073479</v>
      </c>
      <c r="AB121">
        <v>391</v>
      </c>
      <c r="AC121" cm="1">
        <f t="array" ref="AC121">[1]!propssi("S","Q",0,"T",AE121,$AC$1)/1000</f>
        <v>1.4618067817760394</v>
      </c>
      <c r="AD121" cm="1">
        <f t="array" ref="AD121">[1]!propssi("S","Q",1,"T",AE121,$AC$1)/1000</f>
        <v>1.7517893485169154</v>
      </c>
      <c r="AE121">
        <v>391</v>
      </c>
      <c r="AF121" cm="1">
        <f t="array" ref="AF121">[1]!propssi("S","Q",0,"T",AH121,$AF$1)/1000</f>
        <v>1.51328507285229</v>
      </c>
      <c r="AG121" cm="1">
        <f t="array" ref="AG121">[1]!propssi("S","Q",1,"T",AH121,$AF$1)/1000</f>
        <v>1.7738929230477158</v>
      </c>
      <c r="AH121">
        <v>391</v>
      </c>
      <c r="AI121" cm="1">
        <f t="array" ref="AI121">[1]!propssi("S","Q",0,"T",AK121,$AI$1)/1000</f>
        <v>1.5571262469960301</v>
      </c>
      <c r="AJ121" cm="1">
        <f t="array" ref="AJ121">[1]!propssi("S","Q",1,"T",AK121,$AI$1)/1000</f>
        <v>1.8544400307583211</v>
      </c>
      <c r="AK121">
        <v>391</v>
      </c>
    </row>
    <row r="122" spans="23:37" x14ac:dyDescent="0.3">
      <c r="W122" cm="1">
        <f t="array" ref="W122">[1]!propssi("S","Q",0,"T",Y122,$W$1)/1000</f>
        <v>1.4627584946067025</v>
      </c>
      <c r="X122" cm="1">
        <f t="array" ref="X122">[1]!propssi("S","Q",1,"T",Y122,$W$1)/1000</f>
        <v>1.7800565697937323</v>
      </c>
      <c r="Y122">
        <v>392</v>
      </c>
      <c r="Z122" cm="1">
        <f t="array" ref="Z122">[1]!propssi("S","Q",0,"T",AB122,$Z$1)/1000</f>
        <v>1.5009063325383531</v>
      </c>
      <c r="AA122" cm="1">
        <f t="array" ref="AA122">[1]!propssi("S","Q",1,"T",AB122,$Z$1)/1000</f>
        <v>1.8060375875214245</v>
      </c>
      <c r="AB122">
        <v>392</v>
      </c>
      <c r="AC122" cm="1">
        <f t="array" ref="AC122">[1]!propssi("S","Q",0,"T",AE122,$AC$1)/1000</f>
        <v>1.4655239555013913</v>
      </c>
      <c r="AD122" cm="1">
        <f t="array" ref="AD122">[1]!propssi("S","Q",1,"T",AE122,$AC$1)/1000</f>
        <v>1.7526069344992359</v>
      </c>
      <c r="AE122">
        <v>392</v>
      </c>
      <c r="AF122" cm="1">
        <f t="array" ref="AF122">[1]!propssi("S","Q",0,"T",AH122,$AF$1)/1000</f>
        <v>1.5180974320625342</v>
      </c>
      <c r="AG122" cm="1">
        <f t="array" ref="AG122">[1]!propssi("S","Q",1,"T",AH122,$AF$1)/1000</f>
        <v>1.7727154068765953</v>
      </c>
      <c r="AH122">
        <v>392</v>
      </c>
      <c r="AI122" cm="1">
        <f t="array" ref="AI122">[1]!propssi("S","Q",0,"T",AK122,$AI$1)/1000</f>
        <v>1.5611182460245414</v>
      </c>
      <c r="AJ122" cm="1">
        <f t="array" ref="AJ122">[1]!propssi("S","Q",1,"T",AK122,$AI$1)/1000</f>
        <v>1.8546557605526259</v>
      </c>
      <c r="AK122">
        <v>392</v>
      </c>
    </row>
    <row r="123" spans="23:37" x14ac:dyDescent="0.3">
      <c r="W123" cm="1">
        <f t="array" ref="W123">[1]!propssi("S","Q",0,"T",Y123,$W$1)/1000</f>
        <v>1.4665098558517549</v>
      </c>
      <c r="X123" cm="1">
        <f t="array" ref="X123">[1]!propssi("S","Q",1,"T",Y123,$W$1)/1000</f>
        <v>1.7802828532352128</v>
      </c>
      <c r="Y123">
        <v>393</v>
      </c>
      <c r="Z123" cm="1">
        <f t="array" ref="Z123">[1]!propssi("S","Q",0,"T",AB123,$Z$1)/1000</f>
        <v>1.5052997913955839</v>
      </c>
      <c r="AA123" cm="1">
        <f t="array" ref="AA123">[1]!propssi("S","Q",1,"T",AB123,$Z$1)/1000</f>
        <v>1.8057411535486874</v>
      </c>
      <c r="AB123">
        <v>393</v>
      </c>
      <c r="AC123" cm="1">
        <f t="array" ref="AC123">[1]!propssi("S","Q",0,"T",AE123,$AC$1)/1000</f>
        <v>1.4692425090071144</v>
      </c>
      <c r="AD123" cm="1">
        <f t="array" ref="AD123">[1]!propssi("S","Q",1,"T",AE123,$AC$1)/1000</f>
        <v>1.7534151226588177</v>
      </c>
      <c r="AE123">
        <v>393</v>
      </c>
      <c r="AF123" cm="1">
        <f t="array" ref="AF123">[1]!propssi("S","Q",0,"T",AH123,$AF$1)/1000</f>
        <v>1.5229614361583883</v>
      </c>
      <c r="AG123" cm="1">
        <f t="array" ref="AG123">[1]!propssi("S","Q",1,"T",AH123,$AF$1)/1000</f>
        <v>1.7714482293155907</v>
      </c>
      <c r="AH123">
        <v>393</v>
      </c>
      <c r="AI123" cm="1">
        <f t="array" ref="AI123">[1]!propssi("S","Q",0,"T",AK123,$AI$1)/1000</f>
        <v>1.5651196711827595</v>
      </c>
      <c r="AJ123" cm="1">
        <f t="array" ref="AJ123">[1]!propssi("S","Q",1,"T",AK123,$AI$1)/1000</f>
        <v>1.8548528485170164</v>
      </c>
      <c r="AK123">
        <v>393</v>
      </c>
    </row>
    <row r="124" spans="23:37" x14ac:dyDescent="0.3">
      <c r="W124" cm="1">
        <f t="array" ref="W124">[1]!propssi("S","Q",0,"T",Y124,$W$1)/1000</f>
        <v>1.4702667784322663</v>
      </c>
      <c r="X124" cm="1">
        <f t="array" ref="X124">[1]!propssi("S","Q",1,"T",Y124,$W$1)/1000</f>
        <v>1.7804949574520157</v>
      </c>
      <c r="Y124">
        <v>394</v>
      </c>
      <c r="Z124" cm="1">
        <f t="array" ref="Z124">[1]!propssi("S","Q",0,"T",AB124,$Z$1)/1000</f>
        <v>1.5097129366021198</v>
      </c>
      <c r="AA124" cm="1">
        <f t="array" ref="AA124">[1]!propssi("S","Q",1,"T",AB124,$Z$1)/1000</f>
        <v>1.8054140738049071</v>
      </c>
      <c r="AB124">
        <v>394</v>
      </c>
      <c r="AC124" cm="1">
        <f t="array" ref="AC124">[1]!propssi("S","Q",0,"T",AE124,$AC$1)/1000</f>
        <v>1.4729626994197738</v>
      </c>
      <c r="AD124" cm="1">
        <f t="array" ref="AD124">[1]!propssi("S","Q",1,"T",AE124,$AC$1)/1000</f>
        <v>1.7542134897652399</v>
      </c>
      <c r="AE124">
        <v>394</v>
      </c>
      <c r="AF124" cm="1">
        <f t="array" ref="AF124">[1]!propssi("S","Q",0,"T",AH124,$AF$1)/1000</f>
        <v>1.5278828335582337</v>
      </c>
      <c r="AG124" cm="1">
        <f t="array" ref="AG124">[1]!propssi("S","Q",1,"T",AH124,$AF$1)/1000</f>
        <v>1.7700824291130917</v>
      </c>
      <c r="AH124">
        <v>394</v>
      </c>
      <c r="AI124" cm="1">
        <f t="array" ref="AI124">[1]!propssi("S","Q",0,"T",AK124,$AI$1)/1000</f>
        <v>1.5691311947034792</v>
      </c>
      <c r="AJ124" cm="1">
        <f t="array" ref="AJ124">[1]!propssi("S","Q",1,"T",AK124,$AI$1)/1000</f>
        <v>1.8550302964920256</v>
      </c>
      <c r="AK124">
        <v>394</v>
      </c>
    </row>
    <row r="125" spans="23:37" x14ac:dyDescent="0.3">
      <c r="W125" cm="1">
        <f t="array" ref="W125">[1]!propssi("S","Q",0,"T",Y125,$W$1)/1000</f>
        <v>1.4740297000424785</v>
      </c>
      <c r="X125" cm="1">
        <f t="array" ref="X125">[1]!propssi("S","Q",1,"T",Y125,$W$1)/1000</f>
        <v>1.7806921772630595</v>
      </c>
      <c r="Y125">
        <v>395</v>
      </c>
      <c r="Z125" cm="1">
        <f t="array" ref="Z125">[1]!propssi("S","Q",0,"T",AB125,$Z$1)/1000</f>
        <v>1.5141471140349412</v>
      </c>
      <c r="AA125" cm="1">
        <f t="array" ref="AA125">[1]!propssi("S","Q",1,"T",AB125,$Z$1)/1000</f>
        <v>1.8050543975677598</v>
      </c>
      <c r="AB125">
        <v>395</v>
      </c>
      <c r="AC125" cm="1">
        <f t="array" ref="AC125">[1]!propssi("S","Q",0,"T",AE125,$AC$1)/1000</f>
        <v>1.4766847963686194</v>
      </c>
      <c r="AD125" cm="1">
        <f t="array" ref="AD125">[1]!propssi("S","Q",1,"T",AE125,$AC$1)/1000</f>
        <v>1.7550015943191661</v>
      </c>
      <c r="AE125">
        <v>395</v>
      </c>
      <c r="AF125" cm="1">
        <f t="array" ref="AF125">[1]!propssi("S","Q",0,"T",AH125,$AF$1)/1000</f>
        <v>1.5328683600986088</v>
      </c>
      <c r="AG125" cm="1">
        <f t="array" ref="AG125">[1]!propssi("S","Q",1,"T",AH125,$AF$1)/1000</f>
        <v>1.7686075935823051</v>
      </c>
      <c r="AH125">
        <v>395</v>
      </c>
      <c r="AI125" cm="1">
        <f t="array" ref="AI125">[1]!propssi("S","Q",0,"T",AK125,$AI$1)/1000</f>
        <v>1.5731535350049886</v>
      </c>
      <c r="AJ125" cm="1">
        <f t="array" ref="AJ125">[1]!propssi("S","Q",1,"T",AK125,$AI$1)/1000</f>
        <v>1.8551870409307154</v>
      </c>
      <c r="AK125">
        <v>395</v>
      </c>
    </row>
    <row r="126" spans="23:37" x14ac:dyDescent="0.3">
      <c r="W126" cm="1">
        <f t="array" ref="W126">[1]!propssi("S","Q",0,"T",Y126,$W$1)/1000</f>
        <v>1.4777990816280131</v>
      </c>
      <c r="X126" cm="1">
        <f t="array" ref="X126">[1]!propssi("S","Q",1,"T",Y126,$W$1)/1000</f>
        <v>1.7808737700286199</v>
      </c>
      <c r="Y126">
        <v>396</v>
      </c>
      <c r="Z126" cm="1">
        <f t="array" ref="Z126">[1]!propssi("S","Q",0,"T",AB126,$Z$1)/1000</f>
        <v>1.5186037884029813</v>
      </c>
      <c r="AA126" cm="1">
        <f t="array" ref="AA126">[1]!propssi("S","Q",1,"T",AB126,$Z$1)/1000</f>
        <v>1.8046599982777947</v>
      </c>
      <c r="AB126">
        <v>396</v>
      </c>
      <c r="AC126" cm="1">
        <f t="array" ref="AC126">[1]!propssi("S","Q",0,"T",AE126,$AC$1)/1000</f>
        <v>1.4804090829217174</v>
      </c>
      <c r="AD126" cm="1">
        <f t="array" ref="AD126">[1]!propssi("S","Q",1,"T",AE126,$AC$1)/1000</f>
        <v>1.7557789751461383</v>
      </c>
      <c r="AE126">
        <v>396</v>
      </c>
      <c r="AF126" cm="1">
        <f t="array" ref="AF126">[1]!propssi("S","Q",0,"T",AH126,$AF$1)/1000</f>
        <v>1.5379259889696688</v>
      </c>
      <c r="AG126" cm="1">
        <f t="array" ref="AG126">[1]!propssi("S","Q",1,"T",AH126,$AF$1)/1000</f>
        <v>1.7670115064911167</v>
      </c>
      <c r="AH126">
        <v>396</v>
      </c>
      <c r="AI126" cm="1">
        <f t="array" ref="AI126">[1]!propssi("S","Q",0,"T",AK126,$AI$1)/1000</f>
        <v>1.5771874614192718</v>
      </c>
      <c r="AJ126" cm="1">
        <f t="array" ref="AJ126">[1]!propssi("S","Q",1,"T",AK126,$AI$1)/1000</f>
        <v>1.8553219460408112</v>
      </c>
      <c r="AK126">
        <v>396</v>
      </c>
    </row>
    <row r="127" spans="23:37" x14ac:dyDescent="0.3">
      <c r="W127" cm="1">
        <f t="array" ref="W127">[1]!propssi("S","Q",0,"T",Y127,$W$1)/1000</f>
        <v>1.4815754093516875</v>
      </c>
      <c r="X127" cm="1">
        <f t="array" ref="X127">[1]!propssi("S","Q",1,"T",Y127,$W$1)/1000</f>
        <v>1.7810389525929595</v>
      </c>
      <c r="Y127">
        <v>397</v>
      </c>
      <c r="Z127" cm="1">
        <f t="array" ref="Z127">[1]!propssi("S","Q",0,"T",AB127,$Z$1)/1000</f>
        <v>1.5230845589629871</v>
      </c>
      <c r="AA127" cm="1">
        <f t="array" ref="AA127">[1]!propssi("S","Q",1,"T",AB127,$Z$1)/1000</f>
        <v>1.8042285495207473</v>
      </c>
      <c r="AB127">
        <v>397</v>
      </c>
      <c r="AC127" cm="1">
        <f t="array" ref="AC127">[1]!propssi("S","Q",0,"T",AE127,$AC$1)/1000</f>
        <v>1.4841358566120648</v>
      </c>
      <c r="AD127" cm="1">
        <f t="array" ref="AD127">[1]!propssi("S","Q",1,"T",AE127,$AC$1)/1000</f>
        <v>1.7565451498582385</v>
      </c>
      <c r="AE127">
        <v>397</v>
      </c>
      <c r="AF127" cm="1">
        <f t="array" ref="AF127">[1]!propssi("S","Q",0,"T",AH127,$AF$1)/1000</f>
        <v>1.543065266894899</v>
      </c>
      <c r="AG127" cm="1">
        <f t="array" ref="AG127">[1]!propssi("S","Q",1,"T",AH127,$AF$1)/1000</f>
        <v>1.7652796783891829</v>
      </c>
      <c r="AH127">
        <v>397</v>
      </c>
      <c r="AI127" cm="1">
        <f t="array" ref="AI127">[1]!propssi("S","Q",0,"T",AK127,$AI$1)/1000</f>
        <v>1.5812337995622374</v>
      </c>
      <c r="AJ127" cm="1">
        <f t="array" ref="AJ127">[1]!propssi("S","Q",1,"T",AK127,$AI$1)/1000</f>
        <v>1.8554337959145828</v>
      </c>
      <c r="AK127">
        <v>397</v>
      </c>
    </row>
    <row r="128" spans="23:37" x14ac:dyDescent="0.3">
      <c r="W128" cm="1">
        <f t="array" ref="W128">[1]!propssi("S","Q",0,"T",Y128,$W$1)/1000</f>
        <v>1.4853591967785957</v>
      </c>
      <c r="X128" cm="1">
        <f t="array" ref="X128">[1]!propssi("S","Q",1,"T",Y128,$W$1)/1000</f>
        <v>1.7811868979047438</v>
      </c>
      <c r="Y128">
        <v>398</v>
      </c>
      <c r="Z128" cm="1">
        <f t="array" ref="Z128">[1]!propssi("S","Q",0,"T",AB128,$Z$1)/1000</f>
        <v>1.5275911780620195</v>
      </c>
      <c r="AA128" cm="1">
        <f t="array" ref="AA128">[1]!propssi("S","Q",1,"T",AB128,$Z$1)/1000</f>
        <v>1.8037574966805436</v>
      </c>
      <c r="AB128">
        <v>398</v>
      </c>
      <c r="AC128" cm="1">
        <f t="array" ref="AC128">[1]!propssi("S","Q",0,"T",AE128,$AC$1)/1000</f>
        <v>1.4878654305644126</v>
      </c>
      <c r="AD128" cm="1">
        <f t="array" ref="AD128">[1]!propssi("S","Q",1,"T",AE128,$AC$1)/1000</f>
        <v>1.7572996131687051</v>
      </c>
      <c r="AE128">
        <v>398</v>
      </c>
      <c r="AF128" cm="1">
        <f t="array" ref="AF128">[1]!propssi("S","Q",0,"T",AH128,$AF$1)/1000</f>
        <v>1.5482977754859035</v>
      </c>
      <c r="AG128" cm="1">
        <f t="array" ref="AG128">[1]!propssi("S","Q",1,"T",AH128,$AF$1)/1000</f>
        <v>1.7633947077362011</v>
      </c>
      <c r="AH128">
        <v>398</v>
      </c>
      <c r="AI128" cm="1">
        <f t="array" ref="AI128">[1]!propssi("S","Q",0,"T",AK128,$AI$1)/1000</f>
        <v>1.5852934374561964</v>
      </c>
      <c r="AJ128" cm="1">
        <f t="array" ref="AJ128">[1]!propssi("S","Q",1,"T",AK128,$AI$1)/1000</f>
        <v>1.8555212854719985</v>
      </c>
      <c r="AK128">
        <v>398</v>
      </c>
    </row>
    <row r="129" spans="23:37" x14ac:dyDescent="0.3">
      <c r="W129" cm="1">
        <f t="array" ref="W129">[1]!propssi("S","Q",0,"T",Y129,$W$1)/1000</f>
        <v>1.4891509873111239</v>
      </c>
      <c r="X129" cm="1">
        <f t="array" ref="X129">[1]!propssi("S","Q",1,"T",Y129,$W$1)/1000</f>
        <v>1.7813167312721887</v>
      </c>
      <c r="Y129">
        <v>399</v>
      </c>
      <c r="Z129" cm="1">
        <f t="array" ref="Z129">[1]!propssi("S","Q",0,"T",AB129,$Z$1)/1000</f>
        <v>1.5321255731552805</v>
      </c>
      <c r="AA129" cm="1">
        <f t="array" ref="AA129">[1]!propssi("S","Q",1,"T",AB129,$Z$1)/1000</f>
        <v>1.8032440232788038</v>
      </c>
      <c r="AB129">
        <v>399</v>
      </c>
      <c r="AC129" cm="1">
        <f t="array" ref="AC129">[1]!propssi("S","Q",0,"T",AE129,$AC$1)/1000</f>
        <v>1.4915981347350176</v>
      </c>
      <c r="AD129" cm="1">
        <f t="array" ref="AD129">[1]!propssi("S","Q",1,"T",AE129,$AC$1)/1000</f>
        <v>1.7580418350428564</v>
      </c>
      <c r="AE129">
        <v>399</v>
      </c>
      <c r="AF129" cm="1">
        <f t="array" ref="AF129">[1]!propssi("S","Q",0,"T",AH129,$AF$1)/1000</f>
        <v>1.5536377791166516</v>
      </c>
      <c r="AG129" cm="1">
        <f t="array" ref="AG129">[1]!propssi("S","Q",1,"T",AH129,$AF$1)/1000</f>
        <v>1.761335392184026</v>
      </c>
      <c r="AH129">
        <v>399</v>
      </c>
      <c r="AI129" cm="1">
        <f t="array" ref="AI129">[1]!propssi("S","Q",0,"T",AK129,$AI$1)/1000</f>
        <v>1.5893673325378423</v>
      </c>
      <c r="AJ129" cm="1">
        <f t="array" ref="AJ129">[1]!propssi("S","Q",1,"T",AK129,$AI$1)/1000</f>
        <v>1.8555830100282862</v>
      </c>
      <c r="AK129">
        <v>399</v>
      </c>
    </row>
    <row r="130" spans="23:37" x14ac:dyDescent="0.3">
      <c r="W130" cm="1">
        <f t="array" ref="W130">[1]!propssi("S","Q",0,"T",Y130,$W$1)/1000</f>
        <v>1.4929513569097939</v>
      </c>
      <c r="X130" cm="1">
        <f t="array" ref="X130">[1]!propssi("S","Q",1,"T",Y130,$W$1)/1000</f>
        <v>1.7814275262029899</v>
      </c>
      <c r="Y130">
        <v>400</v>
      </c>
      <c r="Z130" cm="1">
        <f t="array" ref="Z130">[1]!propssi("S","Q",0,"T",AB130,$Z$1)/1000</f>
        <v>1.5366898731305469</v>
      </c>
      <c r="AA130" cm="1">
        <f t="array" ref="AA130">[1]!propssi("S","Q",1,"T",AB130,$Z$1)/1000</f>
        <v>1.8026850107424714</v>
      </c>
      <c r="AB130">
        <v>400</v>
      </c>
      <c r="AC130" cm="1">
        <f t="array" ref="AC130">[1]!propssi("S","Q",0,"T",AE130,$AC$1)/1000</f>
        <v>1.4953343172783948</v>
      </c>
      <c r="AD130" cm="1">
        <f t="array" ref="AD130">[1]!propssi("S","Q",1,"T",AE130,$AC$1)/1000</f>
        <v>1.7587712586662669</v>
      </c>
      <c r="AE130">
        <v>400</v>
      </c>
      <c r="AF130" cm="1">
        <f t="array" ref="AF130">[1]!propssi("S","Q",0,"T",AH130,$AF$1)/1000</f>
        <v>1.559103159283137</v>
      </c>
      <c r="AG130" cm="1">
        <f t="array" ref="AG130">[1]!propssi("S","Q",1,"T",AH130,$AF$1)/1000</f>
        <v>1.7590754598458362</v>
      </c>
      <c r="AH130">
        <v>400</v>
      </c>
      <c r="AI130" cm="1">
        <f t="array" ref="AI130">[1]!propssi("S","Q",0,"T",AK130,$AI$1)/1000</f>
        <v>1.5934565197138744</v>
      </c>
      <c r="AJ130" cm="1">
        <f t="array" ref="AJ130">[1]!propssi("S","Q",1,"T",AK130,$AI$1)/1000</f>
        <v>1.8556174532881105</v>
      </c>
      <c r="AK130">
        <v>400</v>
      </c>
    </row>
    <row r="131" spans="23:37" x14ac:dyDescent="0.3">
      <c r="W131" cm="1">
        <f t="array" ref="W131">[1]!propssi("S","Q",0,"T",Y131,$W$1)/1000</f>
        <v>1.4967609171419463</v>
      </c>
      <c r="X131" cm="1">
        <f t="array" ref="X131">[1]!propssi("S","Q",1,"T",Y131,$W$1)/1000</f>
        <v>1.7815182997705039</v>
      </c>
      <c r="Y131">
        <v>401</v>
      </c>
      <c r="Z131" cm="1">
        <f t="array" ref="Z131">[1]!propssi("S","Q",0,"T",AB131,$Z$1)/1000</f>
        <v>1.54128644001469</v>
      </c>
      <c r="AA131" cm="1">
        <f t="array" ref="AA131">[1]!propssi("S","Q",1,"T",AB131,$Z$1)/1000</f>
        <v>1.8020769899760121</v>
      </c>
      <c r="AB131">
        <v>401</v>
      </c>
      <c r="AC131" cm="1">
        <f t="array" ref="AC131">[1]!propssi("S","Q",0,"T",AE131,$AC$1)/1000</f>
        <v>1.4990743460571705</v>
      </c>
      <c r="AD131" cm="1">
        <f t="array" ref="AD131">[1]!propssi("S","Q",1,"T",AE131,$AC$1)/1000</f>
        <v>1.7594872982082534</v>
      </c>
      <c r="AE131">
        <v>401</v>
      </c>
      <c r="AF131" cm="1">
        <f t="array" ref="AF131">[1]!propssi("S","Q",0,"T",AH131,$AF$1)/1000</f>
        <v>1.5647168048479445</v>
      </c>
      <c r="AG131" cm="1">
        <f t="array" ref="AG131">[1]!propssi("S","Q",1,"T",AH131,$AF$1)/1000</f>
        <v>1.7565817022855572</v>
      </c>
      <c r="AH131">
        <v>401</v>
      </c>
      <c r="AI131" cm="1">
        <f t="array" ref="AI131">[1]!propssi("S","Q",0,"T",AK131,$AI$1)/1000</f>
        <v>1.5975621206623585</v>
      </c>
      <c r="AJ131" cm="1">
        <f t="array" ref="AJ131">[1]!propssi("S","Q",1,"T",AK131,$AI$1)/1000</f>
        <v>1.8556229735586536</v>
      </c>
      <c r="AK131">
        <v>401</v>
      </c>
    </row>
    <row r="132" spans="23:37" x14ac:dyDescent="0.3">
      <c r="W132" cm="1">
        <f t="array" ref="W132">[1]!propssi("S","Q",0,"T",Y132,$W$1)/1000</f>
        <v>1.5005803186077911</v>
      </c>
      <c r="X132" cm="1">
        <f t="array" ref="X132">[1]!propssi("S","Q",1,"T",Y132,$W$1)/1000</f>
        <v>1.7815880074377937</v>
      </c>
      <c r="Y132">
        <v>402</v>
      </c>
      <c r="Z132" cm="1">
        <f t="array" ref="Z132">[1]!propssi("S","Q",0,"T",AB132,$Z$1)/1000</f>
        <v>1.545917907468076</v>
      </c>
      <c r="AA132" cm="1">
        <f t="array" ref="AA132">[1]!propssi("S","Q",1,"T",AB132,$Z$1)/1000</f>
        <v>1.8014160826210939</v>
      </c>
      <c r="AB132">
        <v>402</v>
      </c>
      <c r="AC132" cm="1">
        <f t="array" ref="AC132">[1]!propssi("S","Q",0,"T",AE132,$AC$1)/1000</f>
        <v>1.5028186103136842</v>
      </c>
      <c r="AD132" cm="1">
        <f t="array" ref="AD132">[1]!propssi("S","Q",1,"T",AE132,$AC$1)/1000</f>
        <v>1.7601893363544556</v>
      </c>
      <c r="AE132">
        <v>402</v>
      </c>
      <c r="AF132" cm="1">
        <f t="array" ref="AF132">[1]!propssi("S","Q",0,"T",AH132,$AF$1)/1000</f>
        <v>1.5705087587687354</v>
      </c>
      <c r="AG132" cm="1">
        <f t="array" ref="AG132">[1]!propssi("S","Q",1,"T",AH132,$AF$1)/1000</f>
        <v>1.7538111263948208</v>
      </c>
      <c r="AH132">
        <v>402</v>
      </c>
      <c r="AI132" cm="1">
        <f t="array" ref="AI132">[1]!propssi("S","Q",0,"T",AK132,$AI$1)/1000</f>
        <v>1.6016853546234973</v>
      </c>
      <c r="AJ132" cm="1">
        <f t="array" ref="AJ132">[1]!propssi("S","Q",1,"T",AK132,$AI$1)/1000</f>
        <v>1.8555977879590977</v>
      </c>
      <c r="AK132">
        <v>402</v>
      </c>
    </row>
    <row r="133" spans="23:37" x14ac:dyDescent="0.3">
      <c r="W133" cm="1">
        <f t="array" ref="W133">[1]!propssi("S","Q",0,"T",Y133,$W$1)/1000</f>
        <v>1.5044102548023932</v>
      </c>
      <c r="X133" cm="1">
        <f t="array" ref="X133">[1]!propssi("S","Q",1,"T",Y133,$W$1)/1000</f>
        <v>1.7816355372589621</v>
      </c>
      <c r="Y133">
        <v>403</v>
      </c>
      <c r="Z133" cm="1">
        <f t="array" ref="Z133">[1]!propssi("S","Q",0,"T",AB133,$Z$1)/1000</f>
        <v>1.5505872279251893</v>
      </c>
      <c r="AA133" cm="1">
        <f t="array" ref="AA133">[1]!propssi("S","Q",1,"T",AB133,$Z$1)/1000</f>
        <v>1.8006979292132947</v>
      </c>
      <c r="AB133">
        <v>403</v>
      </c>
      <c r="AC133" cm="1">
        <f t="array" ref="AC133">[1]!propssi("S","Q",0,"T",AE133,$AC$1)/1000</f>
        <v>1.5065675225248136</v>
      </c>
      <c r="AD133" cm="1">
        <f t="array" ref="AD133">[1]!propssi("S","Q",1,"T",AE133,$AC$1)/1000</f>
        <v>1.7608767215760766</v>
      </c>
      <c r="AE133">
        <v>403</v>
      </c>
      <c r="AF133" cm="1">
        <f t="array" ref="AF133">[1]!propssi("S","Q",0,"T",AH133,$AF$1)/1000</f>
        <v>1.5765196850029661</v>
      </c>
      <c r="AG133" cm="1">
        <f t="array" ref="AG133">[1]!propssi("S","Q",1,"T",AH133,$AF$1)/1000</f>
        <v>1.7507064165498611</v>
      </c>
      <c r="AH133">
        <v>403</v>
      </c>
      <c r="AI133" cm="1">
        <f t="array" ref="AI133">[1]!propssi("S","Q",0,"T",AK133,$AI$1)/1000</f>
        <v>1.6058275509812088</v>
      </c>
      <c r="AJ133" cm="1">
        <f t="array" ref="AJ133">[1]!propssi("S","Q",1,"T",AK133,$AI$1)/1000</f>
        <v>1.8555399543711475</v>
      </c>
      <c r="AK133">
        <v>403</v>
      </c>
    </row>
    <row r="134" spans="23:37" x14ac:dyDescent="0.3">
      <c r="W134" cm="1">
        <f t="array" ref="W134">[1]!propssi("S","Q",0,"T",Y134,$W$1)/1000</f>
        <v>1.5082514664830589</v>
      </c>
      <c r="X134" cm="1">
        <f t="array" ref="X134">[1]!propssi("S","Q",1,"T",Y134,$W$1)/1000</f>
        <v>1.781659703362541</v>
      </c>
      <c r="Y134">
        <v>404</v>
      </c>
      <c r="Z134" cm="1">
        <f t="array" ref="Z134">[1]!propssi("S","Q",0,"T",AB134,$Z$1)/1000</f>
        <v>1.5552977308679445</v>
      </c>
      <c r="AA134" cm="1">
        <f t="array" ref="AA134">[1]!propssi("S","Q",1,"T",AB134,$Z$1)/1000</f>
        <v>1.7999176005121906</v>
      </c>
      <c r="AB134">
        <v>404</v>
      </c>
      <c r="AC134" cm="1">
        <f t="array" ref="AC134">[1]!propssi("S","Q",0,"T",AE134,$AC$1)/1000</f>
        <v>1.5103215204650124</v>
      </c>
      <c r="AD134" cm="1">
        <f t="array" ref="AD134">[1]!propssi("S","Q",1,"T",AE134,$AC$1)/1000</f>
        <v>1.7615487650941888</v>
      </c>
      <c r="AE134">
        <v>404</v>
      </c>
      <c r="AF134" cm="1">
        <f t="array" ref="AF134">[1]!propssi("S","Q",0,"T",AH134,$AF$1)/1000</f>
        <v>1.5828067864300188</v>
      </c>
      <c r="AG134" cm="1">
        <f t="array" ref="AG134">[1]!propssi("S","Q",1,"T",AH134,$AF$1)/1000</f>
        <v>1.7471883063460625</v>
      </c>
      <c r="AH134">
        <v>404</v>
      </c>
      <c r="AI134" cm="1">
        <f t="array" ref="AI134">[1]!propssi("S","Q",0,"T",AK134,$AI$1)/1000</f>
        <v>1.6099901640108487</v>
      </c>
      <c r="AJ134" cm="1">
        <f t="array" ref="AJ134">[1]!propssi("S","Q",1,"T",AK134,$AI$1)/1000</f>
        <v>1.8554473508087508</v>
      </c>
      <c r="AK134">
        <v>404</v>
      </c>
    </row>
    <row r="135" spans="23:37" x14ac:dyDescent="0.3">
      <c r="W135" cm="1">
        <f t="array" ref="W135">[1]!propssi("S","Q",0,"T",Y135,$W$1)/1000</f>
        <v>1.5121047466250273</v>
      </c>
      <c r="X135" cm="1">
        <f t="array" ref="X135">[1]!propssi("S","Q",1,"T",Y135,$W$1)/1000</f>
        <v>1.7816592386038583</v>
      </c>
      <c r="Y135">
        <v>405</v>
      </c>
      <c r="Z135" cm="1">
        <f t="array" ref="Z135">[1]!propssi("S","Q",0,"T",AB135,$Z$1)/1000</f>
        <v>1.5600531956033794</v>
      </c>
      <c r="AA135" cm="1">
        <f t="array" ref="AA135">[1]!propssi("S","Q",1,"T",AB135,$Z$1)/1000</f>
        <v>1.7990694869707493</v>
      </c>
      <c r="AB135">
        <v>405</v>
      </c>
      <c r="AC135" cm="1">
        <f t="array" ref="AC135">[1]!propssi("S","Q",0,"T",AE135,$AC$1)/1000</f>
        <v>1.5140810695066438</v>
      </c>
      <c r="AD135" cm="1">
        <f t="array" ref="AD135">[1]!propssi("S","Q",1,"T",AE135,$AC$1)/1000</f>
        <v>1.7622047374845244</v>
      </c>
      <c r="AE135">
        <v>405</v>
      </c>
      <c r="AF135" cm="1">
        <f t="array" ref="AF135">[1]!propssi("S","Q",0,"T",AH135,$AF$1)/1000</f>
        <v>1.5894546426813387</v>
      </c>
      <c r="AG135" cm="1">
        <f t="array" ref="AG135">[1]!propssi("S","Q",1,"T",AH135,$AF$1)/1000</f>
        <v>1.7431418536105421</v>
      </c>
      <c r="AH135">
        <v>405</v>
      </c>
      <c r="AI135" cm="1">
        <f t="array" ref="AI135">[1]!propssi("S","Q",0,"T",AK135,$AI$1)/1000</f>
        <v>1.6141747902637615</v>
      </c>
      <c r="AJ135" cm="1">
        <f t="array" ref="AJ135">[1]!propssi("S","Q",1,"T",AK135,$AI$1)/1000</f>
        <v>1.8553176517709939</v>
      </c>
      <c r="AK135">
        <v>405</v>
      </c>
    </row>
    <row r="136" spans="23:37" x14ac:dyDescent="0.3">
      <c r="W136" cm="1">
        <f t="array" ref="W136">[1]!propssi("S","Q",0,"T",Y136,$W$1)/1000</f>
        <v>1.5159709460647892</v>
      </c>
      <c r="X136" cm="1">
        <f t="array" ref="X136">[1]!propssi("S","Q",1,"T",Y136,$W$1)/1000</f>
        <v>1.7816327862515684</v>
      </c>
      <c r="Y136">
        <v>406</v>
      </c>
      <c r="Z136" cm="1">
        <f t="array" ref="Z136">[1]!propssi("S","Q",0,"T",AB136,$Z$1)/1000</f>
        <v>1.5648579431849183</v>
      </c>
      <c r="AA136" cm="1">
        <f t="array" ref="AA136">[1]!propssi("S","Q",1,"T",AB136,$Z$1)/1000</f>
        <v>1.7981471594382912</v>
      </c>
      <c r="AB136">
        <v>406</v>
      </c>
      <c r="AC136" cm="1">
        <f t="array" ref="AC136">[1]!propssi("S","Q",0,"T",AE136,$AC$1)/1000</f>
        <v>1.5178466651915743</v>
      </c>
      <c r="AD136" cm="1">
        <f t="array" ref="AD136">[1]!propssi("S","Q",1,"T",AE136,$AC$1)/1000</f>
        <v>1.7628438648499487</v>
      </c>
      <c r="AE136">
        <v>406</v>
      </c>
      <c r="AF136" cm="1">
        <f t="array" ref="AF136">[1]!propssi("S","Q",0,"T",AH136,$AF$1)/1000</f>
        <v>1.5965969831859235</v>
      </c>
      <c r="AG136" cm="1">
        <f t="array" ref="AG136">[1]!propssi("S","Q",1,"T",AH136,$AF$1)/1000</f>
        <v>1.7383894403696372</v>
      </c>
      <c r="AH136">
        <v>406</v>
      </c>
      <c r="AI136" cm="1">
        <f t="array" ref="AI136">[1]!propssi("S","Q",0,"T",AK136,$AI$1)/1000</f>
        <v>1.6183831891837559</v>
      </c>
      <c r="AJ136" cm="1">
        <f t="array" ref="AJ136">[1]!propssi("S","Q",1,"T",AK136,$AI$1)/1000</f>
        <v>1.8551483009574008</v>
      </c>
      <c r="AK136">
        <v>406</v>
      </c>
    </row>
    <row r="137" spans="23:37" x14ac:dyDescent="0.3">
      <c r="W137" cm="1">
        <f t="array" ref="W137">[1]!propssi("S","Q",0,"T",Y137,$W$1)/1000</f>
        <v>1.5198509799506008</v>
      </c>
      <c r="X137" cm="1">
        <f t="array" ref="X137">[1]!propssi("S","Q",1,"T",Y137,$W$1)/1000</f>
        <v>1.7815788905465797</v>
      </c>
      <c r="Y137">
        <v>407</v>
      </c>
      <c r="Z137" cm="1">
        <f t="array" ref="Z137">[1]!propssi("S","Q",0,"T",AB137,$Z$1)/1000</f>
        <v>1.5697169539640918</v>
      </c>
      <c r="AA137" cm="1">
        <f t="array" ref="AA137">[1]!propssi("S","Q",1,"T",AB137,$Z$1)/1000</f>
        <v>1.7971431914719771</v>
      </c>
      <c r="AB137">
        <v>407</v>
      </c>
      <c r="AC137" cm="1">
        <f t="array" ref="AC137">[1]!propssi("S","Q",0,"T",AE137,$AC$1)/1000</f>
        <v>1.5216188361139122</v>
      </c>
      <c r="AD137" cm="1">
        <f t="array" ref="AD137">[1]!propssi("S","Q",1,"T",AE137,$AC$1)/1000</f>
        <v>1.7634653244648049</v>
      </c>
      <c r="AE137">
        <v>407</v>
      </c>
      <c r="AF137" cm="1">
        <f t="array" ref="AF137">[1]!propssi("S","Q",0,"T",AH137,$AF$1)/1000</f>
        <v>1.6044664119939251</v>
      </c>
      <c r="AG137" cm="1">
        <f t="array" ref="AG137">[1]!propssi("S","Q",1,"T",AH137,$AF$1)/1000</f>
        <v>1.7326306861481648</v>
      </c>
      <c r="AH137">
        <v>407</v>
      </c>
      <c r="AI137" cm="1">
        <f t="array" ref="AI137">[1]!propssi("S","Q",0,"T",AK137,$AI$1)/1000</f>
        <v>1.6226173077142947</v>
      </c>
      <c r="AJ137" cm="1">
        <f t="array" ref="AJ137">[1]!propssi("S","Q",1,"T",AK137,$AI$1)/1000</f>
        <v>1.854936479372437</v>
      </c>
      <c r="AK137">
        <v>407</v>
      </c>
    </row>
    <row r="138" spans="23:37" x14ac:dyDescent="0.3">
      <c r="W138" cm="1">
        <f t="array" ref="W138">[1]!propssi("S","Q",0,"T",Y138,$W$1)/1000</f>
        <v>1.5237458351449489</v>
      </c>
      <c r="X138" cm="1">
        <f t="array" ref="X138">[1]!propssi("S","Q",1,"T",Y138,$W$1)/1000</f>
        <v>1.781495985938494</v>
      </c>
      <c r="Y138">
        <v>408</v>
      </c>
      <c r="Z138" cm="1">
        <f t="array" ref="Z138">[1]!propssi("S","Q",0,"T",AB138,$Z$1)/1000</f>
        <v>1.5746360200067189</v>
      </c>
      <c r="AA138" cm="1">
        <f t="array" ref="AA138">[1]!propssi("S","Q",1,"T",AB138,$Z$1)/1000</f>
        <v>1.7960489296012967</v>
      </c>
      <c r="AB138">
        <v>408</v>
      </c>
      <c r="AC138" cm="1">
        <f t="array" ref="AC138">[1]!propssi("S","Q",0,"T",AE138,$AC$1)/1000</f>
        <v>1.525398147160913</v>
      </c>
      <c r="AD138" cm="1">
        <f t="array" ref="AD138">[1]!propssi("S","Q",1,"T",AE138,$AC$1)/1000</f>
        <v>1.7640682397675505</v>
      </c>
      <c r="AE138">
        <v>408</v>
      </c>
      <c r="AF138" cm="1">
        <f t="array" ref="AF138">[1]!propssi("S","Q",0,"T",AH138,$AF$1)/1000</f>
        <v>1.6135320082201567</v>
      </c>
      <c r="AG138" cm="1">
        <f t="array" ref="AG138">[1]!propssi("S","Q",1,"T",AH138,$AF$1)/1000</f>
        <v>1.7252816942468745</v>
      </c>
      <c r="AH138">
        <v>408</v>
      </c>
      <c r="AI138" cm="1">
        <f t="array" ref="AI138">[1]!propssi("S","Q",0,"T",AK138,$AI$1)/1000</f>
        <v>1.6268793098733687</v>
      </c>
      <c r="AJ138" cm="1">
        <f t="array" ref="AJ138">[1]!propssi("S","Q",1,"T",AK138,$AI$1)/1000</f>
        <v>1.8546790680540863</v>
      </c>
      <c r="AK138">
        <v>408</v>
      </c>
    </row>
    <row r="139" spans="23:37" x14ac:dyDescent="0.3">
      <c r="W139" cm="1">
        <f t="array" ref="W139">[1]!propssi("S","Q",0,"T",Y139,$W$1)/1000</f>
        <v>1.5276565787551482</v>
      </c>
      <c r="X139" cm="1">
        <f t="array" ref="X139">[1]!propssi("S","Q",1,"T",Y139,$W$1)/1000</f>
        <v>1.7813823847632333</v>
      </c>
      <c r="Y139">
        <v>409</v>
      </c>
      <c r="Z139" cm="1">
        <f t="array" ref="Z139">[1]!propssi("S","Q",0,"T",AB139,$Z$1)/1000</f>
        <v>1.5796219457823408</v>
      </c>
      <c r="AA139" cm="1">
        <f t="array" ref="AA139">[1]!propssi("S","Q",1,"T",AB139,$Z$1)/1000</f>
        <v>1.7948541917869199</v>
      </c>
      <c r="AB139">
        <v>409</v>
      </c>
      <c r="AC139" cm="1">
        <f t="array" ref="AC139">[1]!propssi("S","Q",0,"T",AE139,$AC$1)/1000</f>
        <v>1.5291852031677151</v>
      </c>
      <c r="AD139" cm="1">
        <f t="array" ref="AD139">[1]!propssi("S","Q",1,"T",AE139,$AC$1)/1000</f>
        <v>1.7646516745479568</v>
      </c>
      <c r="AE139">
        <v>409</v>
      </c>
      <c r="AF139" cm="1">
        <f t="array" ref="AF139">[1]!propssi("S","Q",0,"T",AH139,$AF$1)/1000</f>
        <v>1.6250298525627445</v>
      </c>
      <c r="AG139" cm="1">
        <f t="array" ref="AG139">[1]!propssi("S","Q",1,"T",AH139,$AF$1)/1000</f>
        <v>1.7148849359864593</v>
      </c>
      <c r="AH139">
        <v>409</v>
      </c>
      <c r="AI139" cm="1">
        <f t="array" ref="AI139">[1]!propssi("S","Q",0,"T",AK139,$AI$1)/1000</f>
        <v>1.631171612567107</v>
      </c>
      <c r="AJ139" cm="1">
        <f t="array" ref="AJ139">[1]!propssi("S","Q",1,"T",AK139,$AI$1)/1000</f>
        <v>1.8543726025721943</v>
      </c>
      <c r="AK139">
        <v>409</v>
      </c>
    </row>
    <row r="140" spans="23:37" x14ac:dyDescent="0.3">
      <c r="W140" cm="1">
        <f t="array" ref="W140">[1]!propssi("S","Q",0,"T",Y140,$W$1)/1000</f>
        <v>1.5315843680077781</v>
      </c>
      <c r="X140" cm="1">
        <f t="array" ref="X140">[1]!propssi("S","Q",1,"T",Y140,$W$1)/1000</f>
        <v>1.7812362630737861</v>
      </c>
      <c r="Y140">
        <v>410</v>
      </c>
      <c r="Z140" cm="1">
        <f t="array" ref="Z140">[1]!propssi("S","Q",0,"T",AB140,$Z$1)/1000</f>
        <v>1.5846828170379108</v>
      </c>
      <c r="AA140" cm="1">
        <f t="array" ref="AA140">[1]!propssi("S","Q",1,"T",AB140,$Z$1)/1000</f>
        <v>1.7935468648435384</v>
      </c>
      <c r="AB140">
        <v>410</v>
      </c>
      <c r="AC140" cm="1">
        <f t="array" ref="AC140">[1]!propssi("S","Q",0,"T",AE140,$AC$1)/1000</f>
        <v>1.5329806530521792</v>
      </c>
      <c r="AD140" cm="1">
        <f t="array" ref="AD140">[1]!propssi("S","Q",1,"T",AE140,$AC$1)/1000</f>
        <v>1.7652146261469577</v>
      </c>
      <c r="AE140">
        <v>410</v>
      </c>
      <c r="AF140" cm="1">
        <f t="array" ref="AF140">[1]!propssi("S","Q",0,"T",AH140,$AF$1)/1000</f>
        <v>1.6458108131385232</v>
      </c>
      <c r="AG140" cm="1">
        <f t="array" ref="AG140">[1]!propssi("S","Q",1,"T",AH140,$AF$1)/1000</f>
        <v>1.6942239096108969</v>
      </c>
      <c r="AH140">
        <v>410</v>
      </c>
      <c r="AI140" cm="1">
        <f t="array" ref="AI140">[1]!propssi("S","Q",0,"T",AK140,$AI$1)/1000</f>
        <v>1.635496929314578</v>
      </c>
      <c r="AJ140" cm="1">
        <f t="array" ref="AJ140">[1]!propssi("S","Q",1,"T",AK140,$AI$1)/1000</f>
        <v>1.854013218377905</v>
      </c>
      <c r="AK140">
        <v>410</v>
      </c>
    </row>
    <row r="141" spans="23:37" x14ac:dyDescent="0.3">
      <c r="W141" cm="1">
        <f t="array" ref="W141">[1]!propssi("S","Q",0,"T",Y141,$W$1)/1000</f>
        <v>1.5355304617326928</v>
      </c>
      <c r="X141" cm="1">
        <f t="array" ref="X141">[1]!propssi("S","Q",1,"T",Y141,$W$1)/1000</f>
        <v>1.7810556442704455</v>
      </c>
      <c r="Y141">
        <v>411</v>
      </c>
      <c r="Z141" cm="1">
        <f t="array" ref="Z141">[1]!propssi("S","Q",0,"T",AB141,$Z$1)/1000</f>
        <v>1.5898283681782956</v>
      </c>
      <c r="AA141" cm="1">
        <f t="array" ref="AA141">[1]!propssi("S","Q",1,"T",AB141,$Z$1)/1000</f>
        <v>1.7921123564911663</v>
      </c>
      <c r="AB141">
        <v>411</v>
      </c>
      <c r="AC141" cm="1">
        <f t="array" ref="AC141">[1]!propssi("S","Q",0,"T",AE141,$AC$1)/1000</f>
        <v>1.5367851945091275</v>
      </c>
      <c r="AD141" cm="1">
        <f t="array" ref="AD141">[1]!propssi("S","Q",1,"T",AE141,$AC$1)/1000</f>
        <v>1.7657560174656679</v>
      </c>
      <c r="AE141">
        <v>411</v>
      </c>
      <c r="AF141" t="e" cm="1">
        <f t="array" ref="AF141">[1]!propssi("S","Q",0,"T",AH141,$AF$1)/1000</f>
        <v>#VALUE!</v>
      </c>
      <c r="AG141" t="e" cm="1">
        <f t="array" ref="AG141">[1]!propssi("S","Q",1,"T",AH141,$AF$1)/1000</f>
        <v>#VALUE!</v>
      </c>
      <c r="AH141">
        <v>411</v>
      </c>
      <c r="AI141" cm="1">
        <f t="array" ref="AI141">[1]!propssi("S","Q",0,"T",AK141,$AI$1)/1000</f>
        <v>1.6398583241114613</v>
      </c>
      <c r="AJ141" cm="1">
        <f t="array" ref="AJ141">[1]!propssi("S","Q",1,"T",AK141,$AI$1)/1000</f>
        <v>1.8535965829035532</v>
      </c>
      <c r="AK141">
        <v>411</v>
      </c>
    </row>
    <row r="142" spans="23:37" x14ac:dyDescent="0.3">
      <c r="W142" cm="1">
        <f t="array" ref="W142">[1]!propssi("S","Q",0,"T",Y142,$W$1)/1000</f>
        <v>1.5394962337861589</v>
      </c>
      <c r="X142" cm="1">
        <f t="array" ref="X142">[1]!propssi("S","Q",1,"T",Y142,$W$1)/1000</f>
        <v>1.7808383800938807</v>
      </c>
      <c r="Y142">
        <v>412</v>
      </c>
      <c r="Z142" cm="1">
        <f t="array" ref="Z142">[1]!propssi("S","Q",0,"T",AB142,$Z$1)/1000</f>
        <v>1.595070495679884</v>
      </c>
      <c r="AA142" cm="1">
        <f t="array" ref="AA142">[1]!propssi("S","Q",1,"T",AB142,$Z$1)/1000</f>
        <v>1.7905328328451047</v>
      </c>
      <c r="AB142">
        <v>412</v>
      </c>
      <c r="AC142" cm="1">
        <f t="array" ref="AC142">[1]!propssi("S","Q",0,"T",AE142,$AC$1)/1000</f>
        <v>1.5405995793593323</v>
      </c>
      <c r="AD142" cm="1">
        <f t="array" ref="AD142">[1]!propssi("S","Q",1,"T",AE142,$AC$1)/1000</f>
        <v>1.7662746875714537</v>
      </c>
      <c r="AE142">
        <v>412</v>
      </c>
      <c r="AF142" t="e" cm="1">
        <f t="array" ref="AF142">[1]!propssi("S","Q",0,"T",AH142,$AF$1)/1000</f>
        <v>#VALUE!</v>
      </c>
      <c r="AG142" t="e" cm="1">
        <f t="array" ref="AG142">[1]!propssi("S","Q",1,"T",AH142,$AF$1)/1000</f>
        <v>#VALUE!</v>
      </c>
      <c r="AH142">
        <v>412</v>
      </c>
      <c r="AI142" cm="1">
        <f t="array" ref="AI142">[1]!propssi("S","Q",0,"T",AK142,$AI$1)/1000</f>
        <v>1.644259278439006</v>
      </c>
      <c r="AJ142" cm="1">
        <f t="array" ref="AJ142">[1]!propssi("S","Q",1,"T",AK142,$AI$1)/1000</f>
        <v>1.8531178106924626</v>
      </c>
      <c r="AK142">
        <v>412</v>
      </c>
    </row>
    <row r="143" spans="23:37" x14ac:dyDescent="0.3">
      <c r="W143" cm="1">
        <f t="array" ref="W143">[1]!propssi("S","Q",0,"T",Y143,$W$1)/1000</f>
        <v>1.5434831888247296</v>
      </c>
      <c r="X143" cm="1">
        <f t="array" ref="X143">[1]!propssi("S","Q",1,"T",Y143,$W$1)/1000</f>
        <v>1.7805821284375538</v>
      </c>
      <c r="Y143">
        <v>413</v>
      </c>
      <c r="Z143" cm="1">
        <f t="array" ref="Z143">[1]!propssi("S","Q",0,"T",AB143,$Z$1)/1000</f>
        <v>1.6004239945354957</v>
      </c>
      <c r="AA143" cm="1">
        <f t="array" ref="AA143">[1]!propssi("S","Q",1,"T",AB143,$Z$1)/1000</f>
        <v>1.7887861297734637</v>
      </c>
      <c r="AB143">
        <v>413</v>
      </c>
      <c r="AC143" cm="1">
        <f t="array" ref="AC143">[1]!propssi("S","Q",0,"T",AE143,$AC$1)/1000</f>
        <v>1.5444246196686093</v>
      </c>
      <c r="AD143" cm="1">
        <f t="array" ref="AD143">[1]!propssi("S","Q",1,"T",AE143,$AC$1)/1000</f>
        <v>1.7667693806980937</v>
      </c>
      <c r="AE143">
        <v>413</v>
      </c>
      <c r="AF143" t="e" cm="1">
        <f t="array" ref="AF143">[1]!propssi("S","Q",0,"T",AH143,$AF$1)/1000</f>
        <v>#VALUE!</v>
      </c>
      <c r="AG143" t="e" cm="1">
        <f t="array" ref="AG143">[1]!propssi("S","Q",1,"T",AH143,$AF$1)/1000</f>
        <v>#VALUE!</v>
      </c>
      <c r="AH143">
        <v>413</v>
      </c>
      <c r="AI143" cm="1">
        <f t="array" ref="AI143">[1]!propssi("S","Q",0,"T",AK143,$AI$1)/1000</f>
        <v>1.6487037755337024</v>
      </c>
      <c r="AJ143" cm="1">
        <f t="array" ref="AJ143">[1]!propssi("S","Q",1,"T",AK143,$AI$1)/1000</f>
        <v>1.8525713560664634</v>
      </c>
      <c r="AK143">
        <v>413</v>
      </c>
    </row>
    <row r="144" spans="23:37" x14ac:dyDescent="0.3">
      <c r="W144" cm="1">
        <f t="array" ref="W144">[1]!propssi("S","Q",0,"T",Y144,$W$1)/1000</f>
        <v>1.5474929809478202</v>
      </c>
      <c r="X144" cm="1">
        <f t="array" ref="X144">[1]!propssi("S","Q",1,"T",Y144,$W$1)/1000</f>
        <v>1.7802843272984028</v>
      </c>
      <c r="Y144">
        <v>414</v>
      </c>
      <c r="Z144" cm="1">
        <f t="array" ref="Z144">[1]!propssi("S","Q",0,"T",AB144,$Z$1)/1000</f>
        <v>1.605907647374393</v>
      </c>
      <c r="AA144" cm="1">
        <f t="array" ref="AA144">[1]!propssi("S","Q",1,"T",AB144,$Z$1)/1000</f>
        <v>1.7868441512255133</v>
      </c>
      <c r="AB144">
        <v>414</v>
      </c>
      <c r="AC144" cm="1">
        <f t="array" ref="AC144">[1]!propssi("S","Q",0,"T",AE144,$AC$1)/1000</f>
        <v>1.5482611947772817</v>
      </c>
      <c r="AD144" cm="1">
        <f t="array" ref="AD144">[1]!propssi("S","Q",1,"T",AE144,$AC$1)/1000</f>
        <v>1.7672387334647712</v>
      </c>
      <c r="AE144">
        <v>414</v>
      </c>
      <c r="AF144" t="e" cm="1">
        <f t="array" ref="AF144">[1]!propssi("S","Q",0,"T",AH144,$AF$1)/1000</f>
        <v>#VALUE!</v>
      </c>
      <c r="AG144" t="e" cm="1">
        <f t="array" ref="AG144">[1]!propssi("S","Q",1,"T",AH144,$AF$1)/1000</f>
        <v>#VALUE!</v>
      </c>
      <c r="AH144">
        <v>414</v>
      </c>
      <c r="AI144" cm="1">
        <f t="array" ref="AI144">[1]!propssi("S","Q",0,"T",AK144,$AI$1)/1000</f>
        <v>1.6531964076388554</v>
      </c>
      <c r="AJ144" cm="1">
        <f t="array" ref="AJ144">[1]!propssi("S","Q",1,"T",AK144,$AI$1)/1000</f>
        <v>1.8519508760433609</v>
      </c>
      <c r="AK144">
        <v>414</v>
      </c>
    </row>
    <row r="145" spans="23:37" x14ac:dyDescent="0.3">
      <c r="W145" cm="1">
        <f t="array" ref="W145">[1]!propssi("S","Q",0,"T",Y145,$W$1)/1000</f>
        <v>1.5515274358660895</v>
      </c>
      <c r="X145" cm="1">
        <f t="array" ref="X145">[1]!propssi("S","Q",1,"T",Y145,$W$1)/1000</f>
        <v>1.7799421640048965</v>
      </c>
      <c r="Y145">
        <v>415</v>
      </c>
      <c r="Z145" cm="1">
        <f t="array" ref="Z145">[1]!propssi("S","Q",0,"T",AB145,$Z$1)/1000</f>
        <v>1.611545894680219</v>
      </c>
      <c r="AA145" cm="1">
        <f t="array" ref="AA145">[1]!propssi("S","Q",1,"T",AB145,$Z$1)/1000</f>
        <v>1.784670427080487</v>
      </c>
      <c r="AB145">
        <v>415</v>
      </c>
      <c r="AC145" cm="1">
        <f t="array" ref="AC145">[1]!propssi("S","Q",0,"T",AE145,$AC$1)/1000</f>
        <v>1.5521102594114455</v>
      </c>
      <c r="AD145" cm="1">
        <f t="array" ref="AD145">[1]!propssi("S","Q",1,"T",AE145,$AC$1)/1000</f>
        <v>1.7676812601809901</v>
      </c>
      <c r="AE145">
        <v>415</v>
      </c>
      <c r="AF145" t="e" cm="1">
        <f t="array" ref="AF145">[1]!propssi("S","Q",0,"T",AH145,$AF$1)/1000</f>
        <v>#VALUE!</v>
      </c>
      <c r="AG145" t="e" cm="1">
        <f t="array" ref="AG145">[1]!propssi("S","Q",1,"T",AH145,$AF$1)/1000</f>
        <v>#VALUE!</v>
      </c>
      <c r="AH145">
        <v>415</v>
      </c>
      <c r="AI145" cm="1">
        <f t="array" ref="AI145">[1]!propssi("S","Q",0,"T",AK145,$AI$1)/1000</f>
        <v>1.6577425143279425</v>
      </c>
      <c r="AJ145" cm="1">
        <f t="array" ref="AJ145">[1]!propssi("S","Q",1,"T",AK145,$AI$1)/1000</f>
        <v>1.8512490535315804</v>
      </c>
      <c r="AK145">
        <v>415</v>
      </c>
    </row>
    <row r="146" spans="23:37" x14ac:dyDescent="0.3">
      <c r="W146" cm="1">
        <f t="array" ref="W146">[1]!propssi("S","Q",0,"T",Y146,$W$1)/1000</f>
        <v>1.5555885774365181</v>
      </c>
      <c r="X146" cm="1">
        <f t="array" ref="X146">[1]!propssi("S","Q",1,"T",Y146,$W$1)/1000</f>
        <v>1.7795525386250637</v>
      </c>
      <c r="Y146">
        <v>416</v>
      </c>
      <c r="Z146" cm="1">
        <f t="array" ref="Z146">[1]!propssi("S","Q",0,"T",AB146,$Z$1)/1000</f>
        <v>1.6173715110634725</v>
      </c>
      <c r="AA146" cm="1">
        <f t="array" ref="AA146">[1]!propssi("S","Q",1,"T",AB146,$Z$1)/1000</f>
        <v>1.7822162251205813</v>
      </c>
      <c r="AB146">
        <v>416</v>
      </c>
      <c r="AC146" cm="1">
        <f t="array" ref="AC146">[1]!propssi("S","Q",0,"T",AE146,$AC$1)/1000</f>
        <v>1.555972853086858</v>
      </c>
      <c r="AD146" cm="1">
        <f t="array" ref="AD146">[1]!propssi("S","Q",1,"T",AE146,$AC$1)/1000</f>
        <v>1.7680953361498066</v>
      </c>
      <c r="AE146">
        <v>416</v>
      </c>
      <c r="AF146" t="e" cm="1">
        <f t="array" ref="AF146">[1]!propssi("S","Q",0,"T",AH146,$AF$1)/1000</f>
        <v>#VALUE!</v>
      </c>
      <c r="AG146" t="e" cm="1">
        <f t="array" ref="AG146">[1]!propssi("S","Q",1,"T",AH146,$AF$1)/1000</f>
        <v>#VALUE!</v>
      </c>
      <c r="AH146">
        <v>416</v>
      </c>
      <c r="AI146" cm="1">
        <f t="array" ref="AI146">[1]!propssi("S","Q",0,"T",AK146,$AI$1)/1000</f>
        <v>1.6623483635566749</v>
      </c>
      <c r="AJ146" cm="1">
        <f t="array" ref="AJ146">[1]!propssi("S","Q",1,"T",AK146,$AI$1)/1000</f>
        <v>1.8504573668136199</v>
      </c>
      <c r="AK146">
        <v>416</v>
      </c>
    </row>
    <row r="147" spans="23:37" x14ac:dyDescent="0.3">
      <c r="W147" cm="1">
        <f t="array" ref="W147">[1]!propssi("S","Q",0,"T",Y147,$W$1)/1000</f>
        <v>1.5596786596503731</v>
      </c>
      <c r="X147" cm="1">
        <f t="array" ref="X147">[1]!propssi("S","Q",1,"T",Y147,$W$1)/1000</f>
        <v>1.7791120201425861</v>
      </c>
      <c r="Y147">
        <v>417</v>
      </c>
      <c r="Z147" cm="1">
        <f t="array" ref="Z147">[1]!propssi("S","Q",0,"T",AB147,$Z$1)/1000</f>
        <v>1.6234301325014291</v>
      </c>
      <c r="AA147" cm="1">
        <f t="array" ref="AA147">[1]!propssi("S","Q",1,"T",AB147,$Z$1)/1000</f>
        <v>1.7794140218670615</v>
      </c>
      <c r="AB147">
        <v>417</v>
      </c>
      <c r="AC147" cm="1">
        <f t="array" ref="AC147">[1]!propssi("S","Q",0,"T",AE147,$AC$1)/1000</f>
        <v>1.5598501110660001</v>
      </c>
      <c r="AD147" cm="1">
        <f t="array" ref="AD147">[1]!propssi("S","Q",1,"T",AE147,$AC$1)/1000</f>
        <v>1.7684791789098238</v>
      </c>
      <c r="AE147">
        <v>417</v>
      </c>
      <c r="AF147" t="e" cm="1">
        <f t="array" ref="AF147">[1]!propssi("S","Q",0,"T",AH147,$AF$1)/1000</f>
        <v>#VALUE!</v>
      </c>
      <c r="AG147" t="e" cm="1">
        <f t="array" ref="AG147">[1]!propssi("S","Q",1,"T",AH147,$AF$1)/1000</f>
        <v>#VALUE!</v>
      </c>
      <c r="AH147">
        <v>417</v>
      </c>
      <c r="AI147" cm="1">
        <f t="array" ref="AI147">[1]!propssi("S","Q",0,"T",AK147,$AI$1)/1000</f>
        <v>1.6670213925992359</v>
      </c>
      <c r="AJ147" cm="1">
        <f t="array" ref="AJ147">[1]!propssi("S","Q",1,"T",AK147,$AI$1)/1000</f>
        <v>1.8495657851524654</v>
      </c>
      <c r="AK147">
        <v>417</v>
      </c>
    </row>
    <row r="148" spans="23:37" x14ac:dyDescent="0.3">
      <c r="W148" cm="1">
        <f t="array" ref="W148">[1]!propssi("S","Q",0,"T",Y148,$W$1)/1000</f>
        <v>1.5638002054912665</v>
      </c>
      <c r="X148" cm="1">
        <f t="array" ref="X148">[1]!propssi("S","Q",1,"T",Y148,$W$1)/1000</f>
        <v>1.7786167935658663</v>
      </c>
      <c r="Y148">
        <v>418</v>
      </c>
      <c r="Z148" cm="1">
        <f t="array" ref="Z148">[1]!propssi("S","Q",0,"T",AB148,$Z$1)/1000</f>
        <v>1.6297884603721666</v>
      </c>
      <c r="AA148" cm="1">
        <f t="array" ref="AA148">[1]!propssi("S","Q",1,"T",AB148,$Z$1)/1000</f>
        <v>1.7761657698892368</v>
      </c>
      <c r="AB148">
        <v>418</v>
      </c>
      <c r="AC148" cm="1">
        <f t="array" ref="AC148">[1]!propssi("S","Q",0,"T",AE148,$AC$1)/1000</f>
        <v>1.5637432771924593</v>
      </c>
      <c r="AD148" cm="1">
        <f t="array" ref="AD148">[1]!propssi("S","Q",1,"T",AE148,$AC$1)/1000</f>
        <v>1.7688308273418327</v>
      </c>
      <c r="AE148">
        <v>418</v>
      </c>
      <c r="AF148" t="e" cm="1">
        <f t="array" ref="AF148">[1]!propssi("S","Q",0,"T",AH148,$AF$1)/1000</f>
        <v>#VALUE!</v>
      </c>
      <c r="AG148" t="e" cm="1">
        <f t="array" ref="AG148">[1]!propssi("S","Q",1,"T",AH148,$AF$1)/1000</f>
        <v>#VALUE!</v>
      </c>
      <c r="AH148">
        <v>418</v>
      </c>
      <c r="AI148" cm="1">
        <f t="array" ref="AI148">[1]!propssi("S","Q",0,"T",AK148,$AI$1)/1000</f>
        <v>1.6717705232275268</v>
      </c>
      <c r="AJ148" cm="1">
        <f t="array" ref="AJ148">[1]!propssi("S","Q",1,"T",AK148,$AI$1)/1000</f>
        <v>1.8485623606160786</v>
      </c>
      <c r="AK148">
        <v>418</v>
      </c>
    </row>
    <row r="149" spans="23:37" x14ac:dyDescent="0.3">
      <c r="W149" cm="1">
        <f t="array" ref="W149">[1]!propssi("S","Q",0,"T",Y149,$W$1)/1000</f>
        <v>1.5679560545327833</v>
      </c>
      <c r="X149" cm="1">
        <f t="array" ref="X149">[1]!propssi("S","Q",1,"T",Y149,$W$1)/1000</f>
        <v>1.7780625955592357</v>
      </c>
      <c r="Y149">
        <v>419</v>
      </c>
      <c r="Z149" cm="1">
        <f t="array" ref="Z149">[1]!propssi("S","Q",0,"T",AB149,$Z$1)/1000</f>
        <v>1.6365505380110905</v>
      </c>
      <c r="AA149" cm="1">
        <f t="array" ref="AA149">[1]!propssi("S","Q",1,"T",AB149,$Z$1)/1000</f>
        <v>1.7723198494418408</v>
      </c>
      <c r="AB149">
        <v>419</v>
      </c>
      <c r="AC149" cm="1">
        <f t="array" ref="AC149">[1]!propssi("S","Q",0,"T",AE149,$AC$1)/1000</f>
        <v>1.5676537190084114</v>
      </c>
      <c r="AD149" cm="1">
        <f t="array" ref="AD149">[1]!propssi("S","Q",1,"T",AE149,$AC$1)/1000</f>
        <v>1.7691481184787161</v>
      </c>
      <c r="AE149">
        <v>419</v>
      </c>
      <c r="AF149" t="e" cm="1">
        <f t="array" ref="AF149">[1]!propssi("S","Q",0,"T",AH149,$AF$1)/1000</f>
        <v>#VALUE!</v>
      </c>
      <c r="AG149" t="e" cm="1">
        <f t="array" ref="AG149">[1]!propssi("S","Q",1,"T",AH149,$AF$1)/1000</f>
        <v>#VALUE!</v>
      </c>
      <c r="AH149">
        <v>419</v>
      </c>
      <c r="AI149" cm="1">
        <f t="array" ref="AI149">[1]!propssi("S","Q",0,"T",AK149,$AI$1)/1000</f>
        <v>1.6766066512473663</v>
      </c>
      <c r="AJ149" cm="1">
        <f t="array" ref="AJ149">[1]!propssi("S","Q",1,"T",AK149,$AI$1)/1000</f>
        <v>1.8474326704584367</v>
      </c>
      <c r="AK149">
        <v>419</v>
      </c>
    </row>
    <row r="150" spans="23:37" x14ac:dyDescent="0.3">
      <c r="W150" cm="1">
        <f t="array" ref="W150">[1]!propssi("S","Q",0,"T",Y150,$W$1)/1000</f>
        <v>1.5721494217710987</v>
      </c>
      <c r="X150" cm="1">
        <f t="array" ref="X150">[1]!propssi("S","Q",1,"T",Y150,$W$1)/1000</f>
        <v>1.7774446353918021</v>
      </c>
      <c r="Y150">
        <v>420</v>
      </c>
      <c r="Z150" cm="1">
        <f t="array" ref="Z150">[1]!propssi("S","Q",0,"T",AB150,$Z$1)/1000</f>
        <v>1.6438943589045163</v>
      </c>
      <c r="AA150" cm="1">
        <f t="array" ref="AA150">[1]!propssi("S","Q",1,"T",AB150,$Z$1)/1000</f>
        <v>1.7676198460724475</v>
      </c>
      <c r="AB150">
        <v>420</v>
      </c>
      <c r="AC150" cm="1">
        <f t="array" ref="AC150">[1]!propssi("S","Q",0,"T",AE150,$AC$1)/1000</f>
        <v>1.5715829456671957</v>
      </c>
      <c r="AD150" cm="1">
        <f t="array" ref="AD150">[1]!propssi("S","Q",1,"T",AE150,$AC$1)/1000</f>
        <v>1.7694286616694892</v>
      </c>
      <c r="AE150">
        <v>420</v>
      </c>
      <c r="AF150" t="e" cm="1">
        <f t="array" ref="AF150">[1]!propssi("S","Q",0,"T",AH150,$AF$1)/1000</f>
        <v>#VALUE!</v>
      </c>
      <c r="AG150" t="e" cm="1">
        <f t="array" ref="AG150">[1]!propssi("S","Q",1,"T",AH150,$AF$1)/1000</f>
        <v>#VALUE!</v>
      </c>
      <c r="AH150">
        <v>420</v>
      </c>
      <c r="AI150" cm="1">
        <f t="array" ref="AI150">[1]!propssi("S","Q",0,"T",AK150,$AI$1)/1000</f>
        <v>1.6815432382742892</v>
      </c>
      <c r="AJ150" cm="1">
        <f t="array" ref="AJ150">[1]!propssi("S","Q",1,"T",AK150,$AI$1)/1000</f>
        <v>1.8461590381619115</v>
      </c>
      <c r="AK150">
        <v>420</v>
      </c>
    </row>
    <row r="151" spans="23:37" x14ac:dyDescent="0.3">
      <c r="W151" cm="1">
        <f t="array" ref="W151">[1]!propssi("S","Q",0,"T",Y151,$W$1)/1000</f>
        <v>1.5763839710668965</v>
      </c>
      <c r="X151" cm="1">
        <f t="array" ref="X151">[1]!propssi("S","Q",1,"T",Y151,$W$1)/1000</f>
        <v>1.776757496889402</v>
      </c>
      <c r="Y151">
        <v>421</v>
      </c>
      <c r="Z151" cm="1">
        <f t="array" ref="Z151">[1]!propssi("S","Q",0,"T",AB151,$Z$1)/1000</f>
        <v>1.6521712238741983</v>
      </c>
      <c r="AA151" cm="1">
        <f t="array" ref="AA151">[1]!propssi("S","Q",1,"T",AB151,$Z$1)/1000</f>
        <v>1.7615676271111027</v>
      </c>
      <c r="AB151">
        <v>421</v>
      </c>
      <c r="AC151" cm="1">
        <f t="array" ref="AC151">[1]!propssi("S","Q",0,"T",AE151,$AC$1)/1000</f>
        <v>1.575532629292135</v>
      </c>
      <c r="AD151" cm="1">
        <f t="array" ref="AD151">[1]!propssi("S","Q",1,"T",AE151,$AC$1)/1000</f>
        <v>1.7696698094366874</v>
      </c>
      <c r="AE151">
        <v>421</v>
      </c>
      <c r="AF151" t="e" cm="1">
        <f t="array" ref="AF151">[1]!propssi("S","Q",0,"T",AH151,$AF$1)/1000</f>
        <v>#VALUE!</v>
      </c>
      <c r="AG151" t="e" cm="1">
        <f t="array" ref="AG151">[1]!propssi("S","Q",1,"T",AH151,$AF$1)/1000</f>
        <v>#VALUE!</v>
      </c>
      <c r="AH151">
        <v>421</v>
      </c>
      <c r="AI151" cm="1">
        <f t="array" ref="AI151">[1]!propssi("S","Q",0,"T",AK151,$AI$1)/1000</f>
        <v>1.6865972766124917</v>
      </c>
      <c r="AJ151" cm="1">
        <f t="array" ref="AJ151">[1]!propssi("S","Q",1,"T",AK151,$AI$1)/1000</f>
        <v>1.8447194160637723</v>
      </c>
      <c r="AK151">
        <v>421</v>
      </c>
    </row>
    <row r="152" spans="23:37" x14ac:dyDescent="0.3">
      <c r="W152" cm="1">
        <f t="array" ref="W152">[1]!propssi("S","Q",0,"T",Y152,$W$1)/1000</f>
        <v>1.5806639078244011</v>
      </c>
      <c r="X152" cm="1">
        <f t="array" ref="X152">[1]!propssi("S","Q",1,"T",Y152,$W$1)/1000</f>
        <v>1.775995015499457</v>
      </c>
      <c r="Y152">
        <v>422</v>
      </c>
      <c r="Z152" cm="1">
        <f t="array" ref="Z152">[1]!propssi("S","Q",0,"T",AB152,$Z$1)/1000</f>
        <v>1.6622788867183871</v>
      </c>
      <c r="AA152" cm="1">
        <f t="array" ref="AA152">[1]!propssi("S","Q",1,"T",AB152,$Z$1)/1000</f>
        <v>1.7529199578819783</v>
      </c>
      <c r="AB152">
        <v>422</v>
      </c>
      <c r="AC152" cm="1">
        <f t="array" ref="AC152">[1]!propssi("S","Q",0,"T",AE152,$AC$1)/1000</f>
        <v>1.579504630617945</v>
      </c>
      <c r="AD152" cm="1">
        <f t="array" ref="AD152">[1]!propssi("S","Q",1,"T",AE152,$AC$1)/1000</f>
        <v>1.7698686239170633</v>
      </c>
      <c r="AE152">
        <v>422</v>
      </c>
      <c r="AF152" t="e" cm="1">
        <f t="array" ref="AF152">[1]!propssi("S","Q",0,"T",AH152,$AF$1)/1000</f>
        <v>#VALUE!</v>
      </c>
      <c r="AG152" t="e" cm="1">
        <f t="array" ref="AG152">[1]!propssi("S","Q",1,"T",AH152,$AF$1)/1000</f>
        <v>#VALUE!</v>
      </c>
      <c r="AH152">
        <v>422</v>
      </c>
      <c r="AI152" cm="1">
        <f t="array" ref="AI152">[1]!propssi("S","Q",0,"T",AK152,$AI$1)/1000</f>
        <v>1.6917906935466598</v>
      </c>
      <c r="AJ152" cm="1">
        <f t="array" ref="AJ152">[1]!propssi("S","Q",1,"T",AK152,$AI$1)/1000</f>
        <v>1.8430857314900682</v>
      </c>
      <c r="AK152">
        <v>422</v>
      </c>
    </row>
    <row r="153" spans="23:37" x14ac:dyDescent="0.3">
      <c r="W153" cm="1">
        <f t="array" ref="W153">[1]!propssi("S","Q",0,"T",Y153,$W$1)/1000</f>
        <v>1.5849940973538441</v>
      </c>
      <c r="X153" cm="1">
        <f t="array" ref="X153">[1]!propssi("S","Q",1,"T",Y153,$W$1)/1000</f>
        <v>1.7751501223031105</v>
      </c>
      <c r="Y153">
        <v>423</v>
      </c>
      <c r="Z153" cm="1">
        <f t="array" ref="Z153">[1]!propssi("S","Q",0,"T",AB153,$Z$1)/1000</f>
        <v>1.6789542324713218</v>
      </c>
      <c r="AA153" cm="1">
        <f t="array" ref="AA153">[1]!propssi("S","Q",1,"T",AB153,$Z$1)/1000</f>
        <v>1.7354342175429409</v>
      </c>
      <c r="AB153">
        <v>423</v>
      </c>
      <c r="AC153" cm="1">
        <f t="array" ref="AC153">[1]!propssi("S","Q",0,"T",AE153,$AC$1)/1000</f>
        <v>1.5835010299999832</v>
      </c>
      <c r="AD153" cm="1">
        <f t="array" ref="AD153">[1]!propssi("S","Q",1,"T",AE153,$AC$1)/1000</f>
        <v>1.7700218371805971</v>
      </c>
      <c r="AE153">
        <v>423</v>
      </c>
      <c r="AF153" t="e" cm="1">
        <f t="array" ref="AF153">[1]!propssi("S","Q",0,"T",AH153,$AF$1)/1000</f>
        <v>#VALUE!</v>
      </c>
      <c r="AG153" t="e" cm="1">
        <f t="array" ref="AG153">[1]!propssi("S","Q",1,"T",AH153,$AF$1)/1000</f>
        <v>#VALUE!</v>
      </c>
      <c r="AH153">
        <v>423</v>
      </c>
      <c r="AI153" cm="1">
        <f t="array" ref="AI153">[1]!propssi("S","Q",0,"T",AK153,$AI$1)/1000</f>
        <v>1.6971525658574884</v>
      </c>
      <c r="AJ153" cm="1">
        <f t="array" ref="AJ153">[1]!propssi("S","Q",1,"T",AK153,$AI$1)/1000</f>
        <v>1.8412213461663123</v>
      </c>
      <c r="AK153">
        <v>423</v>
      </c>
    </row>
    <row r="154" spans="23:37" x14ac:dyDescent="0.3">
      <c r="W154" cm="1">
        <f t="array" ref="W154">[1]!propssi("S","Q",0,"T",Y154,$W$1)/1000</f>
        <v>1.5893802180526375</v>
      </c>
      <c r="X154" cm="1">
        <f t="array" ref="X154">[1]!propssi("S","Q",1,"T",Y154,$W$1)/1000</f>
        <v>1.7742146434618915</v>
      </c>
      <c r="Y154">
        <v>424</v>
      </c>
      <c r="Z154" t="e" cm="1">
        <f t="array" ref="Z154">[1]!propssi("S","Q",0,"T",AB154,$Z$1)/1000</f>
        <v>#VALUE!</v>
      </c>
      <c r="AA154" t="e" cm="1">
        <f t="array" ref="AA154">[1]!propssi("S","Q",1,"T",AB154,$Z$1)/1000</f>
        <v>#VALUE!</v>
      </c>
      <c r="AB154">
        <v>424</v>
      </c>
      <c r="AC154" cm="1">
        <f t="array" ref="AC154">[1]!propssi("S","Q",0,"T",AE154,$AC$1)/1000</f>
        <v>1.5875241652160323</v>
      </c>
      <c r="AD154" cm="1">
        <f t="array" ref="AD154">[1]!propssi("S","Q",1,"T",AE154,$AC$1)/1000</f>
        <v>1.7701258029780507</v>
      </c>
      <c r="AE154">
        <v>424</v>
      </c>
      <c r="AF154" t="e" cm="1">
        <f t="array" ref="AF154">[1]!propssi("S","Q",0,"T",AH154,$AF$1)/1000</f>
        <v>#VALUE!</v>
      </c>
      <c r="AG154" t="e" cm="1">
        <f t="array" ref="AG154">[1]!propssi("S","Q",1,"T",AH154,$AF$1)/1000</f>
        <v>#VALUE!</v>
      </c>
      <c r="AH154">
        <v>424</v>
      </c>
      <c r="AI154" cm="1">
        <f t="array" ref="AI154">[1]!propssi("S","Q",0,"T",AK154,$AI$1)/1000</f>
        <v>1.7027227679953614</v>
      </c>
      <c r="AJ154" cm="1">
        <f t="array" ref="AJ154">[1]!propssi("S","Q",1,"T",AK154,$AI$1)/1000</f>
        <v>1.8390768246023981</v>
      </c>
      <c r="AK154">
        <v>424</v>
      </c>
    </row>
    <row r="155" spans="23:37" x14ac:dyDescent="0.3">
      <c r="W155" cm="1">
        <f t="array" ref="W155">[1]!propssi("S","Q",0,"T",Y155,$W$1)/1000</f>
        <v>1.5938289626003692</v>
      </c>
      <c r="X155" cm="1">
        <f t="array" ref="X155">[1]!propssi("S","Q",1,"T",Y155,$W$1)/1000</f>
        <v>1.773179038559739</v>
      </c>
      <c r="Y155">
        <v>425</v>
      </c>
      <c r="Z155" t="e" cm="1">
        <f t="array" ref="Z155">[1]!propssi("S","Q",0,"T",AB155,$Z$1)/1000</f>
        <v>#VALUE!</v>
      </c>
      <c r="AA155" t="e" cm="1">
        <f t="array" ref="AA155">[1]!propssi("S","Q",1,"T",AB155,$Z$1)/1000</f>
        <v>#VALUE!</v>
      </c>
      <c r="AB155">
        <v>425</v>
      </c>
      <c r="AC155" cm="1">
        <f t="array" ref="AC155">[1]!propssi("S","Q",0,"T",AE155,$AC$1)/1000</f>
        <v>1.5915766779545315</v>
      </c>
      <c r="AD155" cm="1">
        <f t="array" ref="AD155">[1]!propssi("S","Q",1,"T",AE155,$AC$1)/1000</f>
        <v>1.7701764365576933</v>
      </c>
      <c r="AE155">
        <v>425</v>
      </c>
      <c r="AF155" t="e" cm="1">
        <f t="array" ref="AF155">[1]!propssi("S","Q",0,"T",AH155,$AF$1)/1000</f>
        <v>#VALUE!</v>
      </c>
      <c r="AG155" t="e" cm="1">
        <f t="array" ref="AG155">[1]!propssi("S","Q",1,"T",AH155,$AF$1)/1000</f>
        <v>#VALUE!</v>
      </c>
      <c r="AH155">
        <v>425</v>
      </c>
      <c r="AI155" cm="1">
        <f t="array" ref="AI155">[1]!propssi("S","Q",0,"T",AK155,$AI$1)/1000</f>
        <v>1.7085582875177989</v>
      </c>
      <c r="AJ155" cm="1">
        <f t="array" ref="AJ155">[1]!propssi("S","Q",1,"T",AK155,$AI$1)/1000</f>
        <v>1.8365833384009538</v>
      </c>
      <c r="AK155">
        <v>425</v>
      </c>
    </row>
    <row r="156" spans="23:37" x14ac:dyDescent="0.3">
      <c r="W156" cm="1">
        <f t="array" ref="W156">[1]!propssi("S","Q",0,"T",Y156,$W$1)/1000</f>
        <v>1.5983483066377104</v>
      </c>
      <c r="X156" cm="1">
        <f t="array" ref="X156">[1]!propssi("S","Q",1,"T",Y156,$W$1)/1000</f>
        <v>1.7720320535783629</v>
      </c>
      <c r="Y156">
        <v>426</v>
      </c>
      <c r="Z156" t="e" cm="1">
        <f t="array" ref="Z156">[1]!propssi("S","Q",0,"T",AB156,$Z$1)/1000</f>
        <v>#VALUE!</v>
      </c>
      <c r="AA156" t="e" cm="1">
        <f t="array" ref="AA156">[1]!propssi("S","Q",1,"T",AB156,$Z$1)/1000</f>
        <v>#VALUE!</v>
      </c>
      <c r="AB156">
        <v>426</v>
      </c>
      <c r="AC156" cm="1">
        <f t="array" ref="AC156">[1]!propssi("S","Q",0,"T",AE156,$AC$1)/1000</f>
        <v>1.5956615715409623</v>
      </c>
      <c r="AD156" cm="1">
        <f t="array" ref="AD156">[1]!propssi("S","Q",1,"T",AE156,$AC$1)/1000</f>
        <v>1.7701691380767315</v>
      </c>
      <c r="AE156">
        <v>426</v>
      </c>
      <c r="AF156" t="e" cm="1">
        <f t="array" ref="AF156">[1]!propssi("S","Q",0,"T",AH156,$AF$1)/1000</f>
        <v>#VALUE!</v>
      </c>
      <c r="AG156" t="e" cm="1">
        <f t="array" ref="AG156">[1]!propssi("S","Q",1,"T",AH156,$AF$1)/1000</f>
        <v>#VALUE!</v>
      </c>
      <c r="AH156">
        <v>426</v>
      </c>
      <c r="AI156" cm="1">
        <f t="array" ref="AI156">[1]!propssi("S","Q",0,"T",AK156,$AI$1)/1000</f>
        <v>1.7147454413740604</v>
      </c>
      <c r="AJ156" cm="1">
        <f t="array" ref="AJ156">[1]!propssi("S","Q",1,"T",AK156,$AI$1)/1000</f>
        <v>1.833639430757267</v>
      </c>
      <c r="AK156">
        <v>426</v>
      </c>
    </row>
    <row r="157" spans="23:37" x14ac:dyDescent="0.3">
      <c r="W157" cm="1">
        <f t="array" ref="W157">[1]!propssi("S","Q",0,"T",Y157,$W$1)/1000</f>
        <v>1.6029478743559193</v>
      </c>
      <c r="X157" cm="1">
        <f t="array" ref="X157">[1]!propssi("S","Q",1,"T",Y157,$W$1)/1000</f>
        <v>1.7707602520665813</v>
      </c>
      <c r="Y157">
        <v>427</v>
      </c>
      <c r="Z157" t="e" cm="1">
        <f t="array" ref="Z157">[1]!propssi("S","Q",0,"T",AB157,$Z$1)/1000</f>
        <v>#VALUE!</v>
      </c>
      <c r="AA157" t="e" cm="1">
        <f t="array" ref="AA157">[1]!propssi("S","Q",1,"T",AB157,$Z$1)/1000</f>
        <v>#VALUE!</v>
      </c>
      <c r="AB157">
        <v>427</v>
      </c>
      <c r="AC157" cm="1">
        <f t="array" ref="AC157">[1]!propssi("S","Q",0,"T",AE157,$AC$1)/1000</f>
        <v>1.5997822833910109</v>
      </c>
      <c r="AD157" cm="1">
        <f t="array" ref="AD157">[1]!propssi("S","Q",1,"T",AE157,$AC$1)/1000</f>
        <v>1.7700986937197374</v>
      </c>
      <c r="AE157">
        <v>427</v>
      </c>
      <c r="AF157" t="e" cm="1">
        <f t="array" ref="AF157">[1]!propssi("S","Q",0,"T",AH157,$AF$1)/1000</f>
        <v>#VALUE!</v>
      </c>
      <c r="AG157" t="e" cm="1">
        <f t="array" ref="AG157">[1]!propssi("S","Q",1,"T",AH157,$AF$1)/1000</f>
        <v>#VALUE!</v>
      </c>
      <c r="AH157">
        <v>427</v>
      </c>
      <c r="AI157" cm="1">
        <f t="array" ref="AI157">[1]!propssi("S","Q",0,"T",AK157,$AI$1)/1000</f>
        <v>1.7214246973018377</v>
      </c>
      <c r="AJ157" cm="1">
        <f t="array" ref="AJ157">[1]!propssi("S","Q",1,"T",AK157,$AI$1)/1000</f>
        <v>1.8300849165938888</v>
      </c>
      <c r="AK157">
        <v>427</v>
      </c>
    </row>
    <row r="158" spans="23:37" x14ac:dyDescent="0.3">
      <c r="W158" cm="1">
        <f t="array" ref="W158">[1]!propssi("S","Q",0,"T",Y158,$W$1)/1000</f>
        <v>1.6076394466979418</v>
      </c>
      <c r="X158" cm="1">
        <f t="array" ref="X158">[1]!propssi("S","Q",1,"T",Y158,$W$1)/1000</f>
        <v>1.7693473682966543</v>
      </c>
      <c r="Y158">
        <v>428</v>
      </c>
      <c r="Z158" t="e" cm="1">
        <f t="array" ref="Z158">[1]!propssi("S","Q",0,"T",AB158,$Z$1)/1000</f>
        <v>#VALUE!</v>
      </c>
      <c r="AA158" t="e" cm="1">
        <f t="array" ref="AA158">[1]!propssi("S","Q",1,"T",AB158,$Z$1)/1000</f>
        <v>#VALUE!</v>
      </c>
      <c r="AB158">
        <v>428</v>
      </c>
      <c r="AC158" cm="1">
        <f t="array" ref="AC158">[1]!propssi("S","Q",0,"T",AE158,$AC$1)/1000</f>
        <v>1.6039427770355046</v>
      </c>
      <c r="AD158" cm="1">
        <f t="array" ref="AD158">[1]!propssi("S","Q",1,"T",AE158,$AC$1)/1000</f>
        <v>1.7699591467473268</v>
      </c>
      <c r="AE158">
        <v>428</v>
      </c>
      <c r="AF158" t="e" cm="1">
        <f t="array" ref="AF158">[1]!propssi("S","Q",0,"T",AH158,$AF$1)/1000</f>
        <v>#VALUE!</v>
      </c>
      <c r="AG158" t="e" cm="1">
        <f t="array" ref="AG158">[1]!propssi("S","Q",1,"T",AH158,$AF$1)/1000</f>
        <v>#VALUE!</v>
      </c>
      <c r="AH158">
        <v>428</v>
      </c>
      <c r="AI158" cm="1">
        <f t="array" ref="AI158">[1]!propssi("S","Q",0,"T",AK158,$AI$1)/1000</f>
        <v>1.7288521814747519</v>
      </c>
      <c r="AJ158" cm="1">
        <f t="array" ref="AJ158">[1]!propssi("S","Q",1,"T",AK158,$AI$1)/1000</f>
        <v>1.8256424470491595</v>
      </c>
      <c r="AK158">
        <v>428</v>
      </c>
    </row>
    <row r="159" spans="23:37" x14ac:dyDescent="0.3">
      <c r="W159" cm="1">
        <f t="array" ref="W159">[1]!propssi("S","Q",0,"T",Y159,$W$1)/1000</f>
        <v>1.612437685389551</v>
      </c>
      <c r="X159" cm="1">
        <f t="array" ref="X159">[1]!propssi("S","Q",1,"T",Y159,$W$1)/1000</f>
        <v>1.7677733930231911</v>
      </c>
      <c r="Y159">
        <v>429</v>
      </c>
      <c r="Z159" t="e" cm="1">
        <f t="array" ref="Z159">[1]!propssi("S","Q",0,"T",AB159,$Z$1)/1000</f>
        <v>#VALUE!</v>
      </c>
      <c r="AA159" t="e" cm="1">
        <f t="array" ref="AA159">[1]!propssi("S","Q",1,"T",AB159,$Z$1)/1000</f>
        <v>#VALUE!</v>
      </c>
      <c r="AB159">
        <v>429</v>
      </c>
      <c r="AC159" cm="1">
        <f t="array" ref="AC159">[1]!propssi("S","Q",0,"T",AE159,$AC$1)/1000</f>
        <v>1.6081476605630849</v>
      </c>
      <c r="AD159" cm="1">
        <f t="array" ref="AD159">[1]!propssi("S","Q",1,"T",AE159,$AC$1)/1000</f>
        <v>1.7697436280201586</v>
      </c>
      <c r="AE159">
        <v>429</v>
      </c>
      <c r="AF159" t="e" cm="1">
        <f t="array" ref="AF159">[1]!propssi("S","Q",0,"T",AH159,$AF$1)/1000</f>
        <v>#VALUE!</v>
      </c>
      <c r="AG159" t="e" cm="1">
        <f t="array" ref="AG159">[1]!propssi("S","Q",1,"T",AH159,$AF$1)/1000</f>
        <v>#VALUE!</v>
      </c>
      <c r="AH159">
        <v>429</v>
      </c>
      <c r="AI159" cm="1">
        <f t="array" ref="AI159">[1]!propssi("S","Q",0,"T",AK159,$AI$1)/1000</f>
        <v>1.737582510352244</v>
      </c>
      <c r="AJ159" cm="1">
        <f t="array" ref="AJ159">[1]!propssi("S","Q",1,"T",AK159,$AI$1)/1000</f>
        <v>1.8197458181978095</v>
      </c>
      <c r="AK159">
        <v>429</v>
      </c>
    </row>
    <row r="160" spans="23:37" x14ac:dyDescent="0.3">
      <c r="W160" cm="1">
        <f t="array" ref="W160">[1]!propssi("S","Q",0,"T",Y160,$W$1)/1000</f>
        <v>1.6173611943994382</v>
      </c>
      <c r="X160" cm="1">
        <f t="array" ref="X160">[1]!propssi("S","Q",1,"T",Y160,$W$1)/1000</f>
        <v>1.7660132445969654</v>
      </c>
      <c r="Y160">
        <v>430</v>
      </c>
      <c r="Z160" t="e" cm="1">
        <f t="array" ref="Z160">[1]!propssi("S","Q",0,"T",AB160,$Z$1)/1000</f>
        <v>#VALUE!</v>
      </c>
      <c r="AA160" t="e" cm="1">
        <f t="array" ref="AA160">[1]!propssi("S","Q",1,"T",AB160,$Z$1)/1000</f>
        <v>#VALUE!</v>
      </c>
      <c r="AB160">
        <v>430</v>
      </c>
      <c r="AC160" cm="1">
        <f t="array" ref="AC160">[1]!propssi("S","Q",0,"T",AE160,$AC$1)/1000</f>
        <v>1.6124023413396698</v>
      </c>
      <c r="AD160" cm="1">
        <f t="array" ref="AD160">[1]!propssi("S","Q",1,"T",AE160,$AC$1)/1000</f>
        <v>1.7694441315437464</v>
      </c>
      <c r="AE160">
        <v>430</v>
      </c>
      <c r="AF160" t="e" cm="1">
        <f t="array" ref="AF160">[1]!propssi("S","Q",0,"T",AH160,$AF$1)/1000</f>
        <v>#VALUE!</v>
      </c>
      <c r="AG160" t="e" cm="1">
        <f t="array" ref="AG160">[1]!propssi("S","Q",1,"T",AH160,$AF$1)/1000</f>
        <v>#VALUE!</v>
      </c>
      <c r="AH160">
        <v>430</v>
      </c>
      <c r="AI160" cm="1">
        <f t="array" ref="AI160">[1]!propssi("S","Q",0,"T",AK160,$AI$1)/1000</f>
        <v>1.7493092250849107</v>
      </c>
      <c r="AJ160" cm="1">
        <f t="array" ref="AJ160">[1]!propssi("S","Q",1,"T",AK160,$AI$1)/1000</f>
        <v>1.8108295075782164</v>
      </c>
      <c r="AK160">
        <v>430</v>
      </c>
    </row>
    <row r="161" spans="23:37" x14ac:dyDescent="0.3">
      <c r="W161" cm="1">
        <f t="array" ref="W161">[1]!propssi("S","Q",0,"T",Y161,$W$1)/1000</f>
        <v>1.6224341294517362</v>
      </c>
      <c r="X161" cm="1">
        <f t="array" ref="X161">[1]!propssi("S","Q",1,"T",Y161,$W$1)/1000</f>
        <v>1.7640347726465597</v>
      </c>
      <c r="Y161">
        <v>431</v>
      </c>
      <c r="Z161" t="e" cm="1">
        <f t="array" ref="Z161">[1]!propssi("S","Q",0,"T",AB161,$Z$1)/1000</f>
        <v>#VALUE!</v>
      </c>
      <c r="AA161" t="e" cm="1">
        <f t="array" ref="AA161">[1]!propssi("S","Q",1,"T",AB161,$Z$1)/1000</f>
        <v>#VALUE!</v>
      </c>
      <c r="AB161">
        <v>431</v>
      </c>
      <c r="AC161" cm="1">
        <f t="array" ref="AC161">[1]!propssi("S","Q",0,"T",AE161,$AC$1)/1000</f>
        <v>1.6167132315086081</v>
      </c>
      <c r="AD161" cm="1">
        <f t="array" ref="AD161">[1]!propssi("S","Q",1,"T",AE161,$AC$1)/1000</f>
        <v>1.7690512143653641</v>
      </c>
      <c r="AE161">
        <v>431</v>
      </c>
      <c r="AF161" t="e" cm="1">
        <f t="array" ref="AF161">[1]!propssi("S","Q",0,"T",AH161,$AF$1)/1000</f>
        <v>#VALUE!</v>
      </c>
      <c r="AG161" t="e" cm="1">
        <f t="array" ref="AG161">[1]!propssi("S","Q",1,"T",AH161,$AF$1)/1000</f>
        <v>#VALUE!</v>
      </c>
      <c r="AH161">
        <v>431</v>
      </c>
      <c r="AI161" t="e" cm="1">
        <f t="array" ref="AI161">[1]!propssi("S","Q",0,"T",AK161,$AI$1)/1000</f>
        <v>#VALUE!</v>
      </c>
      <c r="AJ161" cm="1">
        <f t="array" ref="AJ161">[1]!propssi("S","Q",1,"T",AK161,$AI$1)/1000</f>
        <v>1.7793668245100724</v>
      </c>
      <c r="AK161">
        <v>431</v>
      </c>
    </row>
    <row r="162" spans="23:37" x14ac:dyDescent="0.3">
      <c r="W162" cm="1">
        <f t="array" ref="W162">[1]!propssi("S","Q",0,"T",Y162,$W$1)/1000</f>
        <v>1.6276887390978472</v>
      </c>
      <c r="X162" cm="1">
        <f t="array" ref="X162">[1]!propssi("S","Q",1,"T",Y162,$W$1)/1000</f>
        <v>1.7617956385578011</v>
      </c>
      <c r="Y162">
        <v>432</v>
      </c>
      <c r="Z162" t="e" cm="1">
        <f t="array" ref="Z162">[1]!propssi("S","Q",0,"T",AB162,$Z$1)/1000</f>
        <v>#VALUE!</v>
      </c>
      <c r="AA162" t="e" cm="1">
        <f t="array" ref="AA162">[1]!propssi("S","Q",1,"T",AB162,$Z$1)/1000</f>
        <v>#VALUE!</v>
      </c>
      <c r="AB162">
        <v>432</v>
      </c>
      <c r="AC162" cm="1">
        <f t="array" ref="AC162">[1]!propssi("S","Q",0,"T",AE162,$AC$1)/1000</f>
        <v>1.6210880261277258</v>
      </c>
      <c r="AD162" cm="1">
        <f t="array" ref="AD162">[1]!propssi("S","Q",1,"T",AE162,$AC$1)/1000</f>
        <v>1.7685535901943696</v>
      </c>
      <c r="AE162">
        <v>432</v>
      </c>
      <c r="AF162" t="e" cm="1">
        <f t="array" ref="AF162">[1]!propssi("S","Q",0,"T",AH162,$AF$1)/1000</f>
        <v>#VALUE!</v>
      </c>
      <c r="AG162" t="e" cm="1">
        <f t="array" ref="AG162">[1]!propssi("S","Q",1,"T",AH162,$AF$1)/1000</f>
        <v>#VALUE!</v>
      </c>
      <c r="AH162">
        <v>432</v>
      </c>
      <c r="AI162" t="e" cm="1">
        <f t="array" ref="AI162">[1]!propssi("S","Q",0,"T",AK162,$AI$1)/1000</f>
        <v>#VALUE!</v>
      </c>
      <c r="AJ162" t="e" cm="1">
        <f t="array" ref="AJ162">[1]!propssi("S","Q",1,"T",AK162,$AI$1)/1000</f>
        <v>#VALUE!</v>
      </c>
      <c r="AK162">
        <v>432</v>
      </c>
    </row>
    <row r="163" spans="23:37" x14ac:dyDescent="0.3">
      <c r="W163" cm="1">
        <f t="array" ref="W163">[1]!propssi("S","Q",0,"T",Y163,$W$1)/1000</f>
        <v>1.6331695790984819</v>
      </c>
      <c r="X163" cm="1">
        <f t="array" ref="X163">[1]!propssi("S","Q",1,"T",Y163,$W$1)/1000</f>
        <v>1.7592382008346104</v>
      </c>
      <c r="Y163">
        <v>433</v>
      </c>
      <c r="Z163" t="e" cm="1">
        <f t="array" ref="Z163">[1]!propssi("S","Q",0,"T",AB163,$Z$1)/1000</f>
        <v>#VALUE!</v>
      </c>
      <c r="AA163" t="e" cm="1">
        <f t="array" ref="AA163">[1]!propssi("S","Q",1,"T",AB163,$Z$1)/1000</f>
        <v>#VALUE!</v>
      </c>
      <c r="AB163">
        <v>433</v>
      </c>
      <c r="AC163" cm="1">
        <f t="array" ref="AC163">[1]!propssi("S","Q",0,"T",AE163,$AC$1)/1000</f>
        <v>1.6255360877937426</v>
      </c>
      <c r="AD163" cm="1">
        <f t="array" ref="AD163">[1]!propssi("S","Q",1,"T",AE163,$AC$1)/1000</f>
        <v>1.7679375697049828</v>
      </c>
      <c r="AE163">
        <v>433</v>
      </c>
      <c r="AF163" t="e" cm="1">
        <f t="array" ref="AF163">[1]!propssi("S","Q",0,"T",AH163,$AF$1)/1000</f>
        <v>#VALUE!</v>
      </c>
      <c r="AG163" t="e" cm="1">
        <f t="array" ref="AG163">[1]!propssi("S","Q",1,"T",AH163,$AF$1)/1000</f>
        <v>#VALUE!</v>
      </c>
      <c r="AH163">
        <v>433</v>
      </c>
      <c r="AI163" t="e" cm="1">
        <f t="array" ref="AI163">[1]!propssi("S","Q",0,"T",AK163,$AI$1)/1000</f>
        <v>#VALUE!</v>
      </c>
      <c r="AJ163" t="e" cm="1">
        <f t="array" ref="AJ163">[1]!propssi("S","Q",1,"T",AK163,$AI$1)/1000</f>
        <v>#VALUE!</v>
      </c>
      <c r="AK163">
        <v>433</v>
      </c>
    </row>
    <row r="164" spans="23:37" x14ac:dyDescent="0.3">
      <c r="W164" cm="1">
        <f t="array" ref="W164">[1]!propssi("S","Q",0,"T",Y164,$W$1)/1000</f>
        <v>1.6389409459654878</v>
      </c>
      <c r="X164" cm="1">
        <f t="array" ref="X164">[1]!propssi("S","Q",1,"T",Y164,$W$1)/1000</f>
        <v>1.7562806104196662</v>
      </c>
      <c r="Y164">
        <v>434</v>
      </c>
      <c r="Z164" t="e" cm="1">
        <f t="array" ref="Z164">[1]!propssi("S","Q",0,"T",AB164,$Z$1)/1000</f>
        <v>#VALUE!</v>
      </c>
      <c r="AA164" t="e" cm="1">
        <f t="array" ref="AA164">[1]!propssi("S","Q",1,"T",AB164,$Z$1)/1000</f>
        <v>#VALUE!</v>
      </c>
      <c r="AB164">
        <v>434</v>
      </c>
      <c r="AC164" cm="1">
        <f t="array" ref="AC164">[1]!propssi("S","Q",0,"T",AE164,$AC$1)/1000</f>
        <v>1.6300689918605507</v>
      </c>
      <c r="AD164" cm="1">
        <f t="array" ref="AD164">[1]!propssi("S","Q",1,"T",AE164,$AC$1)/1000</f>
        <v>1.7671862726203471</v>
      </c>
      <c r="AE164">
        <v>434</v>
      </c>
      <c r="AF164" t="e" cm="1">
        <f t="array" ref="AF164">[1]!propssi("S","Q",0,"T",AH164,$AF$1)/1000</f>
        <v>#VALUE!</v>
      </c>
      <c r="AG164" t="e" cm="1">
        <f t="array" ref="AG164">[1]!propssi("S","Q",1,"T",AH164,$AF$1)/1000</f>
        <v>#VALUE!</v>
      </c>
      <c r="AH164">
        <v>434</v>
      </c>
      <c r="AI164" t="e" cm="1">
        <f t="array" ref="AI164">[1]!propssi("S","Q",0,"T",AK164,$AI$1)/1000</f>
        <v>#VALUE!</v>
      </c>
      <c r="AJ164" t="e" cm="1">
        <f t="array" ref="AJ164">[1]!propssi("S","Q",1,"T",AK164,$AI$1)/1000</f>
        <v>#VALUE!</v>
      </c>
      <c r="AK164">
        <v>434</v>
      </c>
    </row>
    <row r="165" spans="23:37" x14ac:dyDescent="0.3">
      <c r="W165" cm="1">
        <f t="array" ref="W165">[1]!propssi("S","Q",0,"T",Y165,$W$1)/1000</f>
        <v>1.6451010727956192</v>
      </c>
      <c r="X165" cm="1">
        <f t="array" ref="X165">[1]!propssi("S","Q",1,"T",Y165,$W$1)/1000</f>
        <v>1.7528000589997077</v>
      </c>
      <c r="Y165">
        <v>435</v>
      </c>
      <c r="Z165" t="e" cm="1">
        <f t="array" ref="Z165">[1]!propssi("S","Q",0,"T",AB165,$Z$1)/1000</f>
        <v>#VALUE!</v>
      </c>
      <c r="AA165" t="e" cm="1">
        <f t="array" ref="AA165">[1]!propssi("S","Q",1,"T",AB165,$Z$1)/1000</f>
        <v>#VALUE!</v>
      </c>
      <c r="AB165">
        <v>435</v>
      </c>
      <c r="AC165" cm="1">
        <f t="array" ref="AC165">[1]!propssi("S","Q",0,"T",AE165,$AC$1)/1000</f>
        <v>1.6347013219625997</v>
      </c>
      <c r="AD165" cm="1">
        <f t="array" ref="AD165">[1]!propssi("S","Q",1,"T",AE165,$AC$1)/1000</f>
        <v>1.7662784876769206</v>
      </c>
      <c r="AE165">
        <v>435</v>
      </c>
      <c r="AF165" t="e" cm="1">
        <f t="array" ref="AF165">[1]!propssi("S","Q",0,"T",AH165,$AF$1)/1000</f>
        <v>#VALUE!</v>
      </c>
      <c r="AG165" t="e" cm="1">
        <f t="array" ref="AG165">[1]!propssi("S","Q",1,"T",AH165,$AF$1)/1000</f>
        <v>#VALUE!</v>
      </c>
      <c r="AH165">
        <v>435</v>
      </c>
      <c r="AI165" t="e" cm="1">
        <f t="array" ref="AI165">[1]!propssi("S","Q",0,"T",AK165,$AI$1)/1000</f>
        <v>#VALUE!</v>
      </c>
      <c r="AJ165" t="e" cm="1">
        <f t="array" ref="AJ165">[1]!propssi("S","Q",1,"T",AK165,$AI$1)/1000</f>
        <v>#VALUE!</v>
      </c>
      <c r="AK165">
        <v>435</v>
      </c>
    </row>
    <row r="166" spans="23:37" x14ac:dyDescent="0.3">
      <c r="W166" cm="1">
        <f t="array" ref="W166">[1]!propssi("S","Q",0,"T",Y166,$W$1)/1000</f>
        <v>1.6518123014955362</v>
      </c>
      <c r="X166" cm="1">
        <f t="array" ref="X166">[1]!propssi("S","Q",1,"T",Y166,$W$1)/1000</f>
        <v>1.7485977986326353</v>
      </c>
      <c r="Y166">
        <v>436</v>
      </c>
      <c r="Z166" t="e" cm="1">
        <f t="array" ref="Z166">[1]!propssi("S","Q",0,"T",AB166,$Z$1)/1000</f>
        <v>#VALUE!</v>
      </c>
      <c r="AA166" t="e" cm="1">
        <f t="array" ref="AA166">[1]!propssi("S","Q",1,"T",AB166,$Z$1)/1000</f>
        <v>#VALUE!</v>
      </c>
      <c r="AB166">
        <v>436</v>
      </c>
      <c r="AC166" cm="1">
        <f t="array" ref="AC166">[1]!propssi("S","Q",0,"T",AE166,$AC$1)/1000</f>
        <v>1.6394518711417101</v>
      </c>
      <c r="AD166" cm="1">
        <f t="array" ref="AD166">[1]!propssi("S","Q",1,"T",AE166,$AC$1)/1000</f>
        <v>1.765186966559668</v>
      </c>
      <c r="AE166">
        <v>436</v>
      </c>
      <c r="AF166" t="e" cm="1">
        <f t="array" ref="AF166">[1]!propssi("S","Q",0,"T",AH166,$AF$1)/1000</f>
        <v>#VALUE!</v>
      </c>
      <c r="AG166" t="e" cm="1">
        <f t="array" ref="AG166">[1]!propssi("S","Q",1,"T",AH166,$AF$1)/1000</f>
        <v>#VALUE!</v>
      </c>
      <c r="AH166">
        <v>436</v>
      </c>
      <c r="AI166" t="e" cm="1">
        <f t="array" ref="AI166">[1]!propssi("S","Q",0,"T",AK166,$AI$1)/1000</f>
        <v>#VALUE!</v>
      </c>
      <c r="AJ166" t="e" cm="1">
        <f t="array" ref="AJ166">[1]!propssi("S","Q",1,"T",AK166,$AI$1)/1000</f>
        <v>#VALUE!</v>
      </c>
      <c r="AK166">
        <v>436</v>
      </c>
    </row>
    <row r="167" spans="23:37" x14ac:dyDescent="0.3">
      <c r="W167" cm="1">
        <f t="array" ref="W167">[1]!propssi("S","Q",0,"T",Y167,$W$1)/1000</f>
        <v>1.6593758699874803</v>
      </c>
      <c r="X167" cm="1">
        <f t="array" ref="X167">[1]!propssi("S","Q",1,"T",Y167,$W$1)/1000</f>
        <v>1.7433142745833841</v>
      </c>
      <c r="Y167">
        <v>437</v>
      </c>
      <c r="Z167" t="e" cm="1">
        <f t="array" ref="Z167">[1]!propssi("S","Q",0,"T",AB167,$Z$1)/1000</f>
        <v>#VALUE!</v>
      </c>
      <c r="AA167" t="e" cm="1">
        <f t="array" ref="AA167">[1]!propssi("S","Q",1,"T",AB167,$Z$1)/1000</f>
        <v>#VALUE!</v>
      </c>
      <c r="AB167">
        <v>437</v>
      </c>
      <c r="AC167" cm="1">
        <f t="array" ref="AC167">[1]!propssi("S","Q",0,"T",AE167,$AC$1)/1000</f>
        <v>1.6443455316109243</v>
      </c>
      <c r="AD167" cm="1">
        <f t="array" ref="AD167">[1]!propssi("S","Q",1,"T",AE167,$AC$1)/1000</f>
        <v>1.7638757634391622</v>
      </c>
      <c r="AE167">
        <v>437</v>
      </c>
      <c r="AF167" t="e" cm="1">
        <f t="array" ref="AF167">[1]!propssi("S","Q",0,"T",AH167,$AF$1)/1000</f>
        <v>#VALUE!</v>
      </c>
      <c r="AG167" t="e" cm="1">
        <f t="array" ref="AG167">[1]!propssi("S","Q",1,"T",AH167,$AF$1)/1000</f>
        <v>#VALUE!</v>
      </c>
      <c r="AH167">
        <v>437</v>
      </c>
      <c r="AI167" t="e" cm="1">
        <f t="array" ref="AI167">[1]!propssi("S","Q",0,"T",AK167,$AI$1)/1000</f>
        <v>#VALUE!</v>
      </c>
      <c r="AJ167" t="e" cm="1">
        <f t="array" ref="AJ167">[1]!propssi("S","Q",1,"T",AK167,$AI$1)/1000</f>
        <v>#VALUE!</v>
      </c>
      <c r="AK167">
        <v>437</v>
      </c>
    </row>
    <row r="168" spans="23:37" x14ac:dyDescent="0.3">
      <c r="W168" cm="1">
        <f t="array" ref="W168">[1]!propssi("S","Q",0,"T",Y168,$W$1)/1000</f>
        <v>1.6684690487033711</v>
      </c>
      <c r="X168" cm="1">
        <f t="array" ref="X168">[1]!propssi("S","Q",1,"T",Y168,$W$1)/1000</f>
        <v>1.7361672413554856</v>
      </c>
      <c r="Y168">
        <v>438</v>
      </c>
      <c r="Z168" t="e" cm="1">
        <f t="array" ref="Z168">[1]!propssi("S","Q",0,"T",AB168,$Z$1)/1000</f>
        <v>#VALUE!</v>
      </c>
      <c r="AA168" t="e" cm="1">
        <f t="array" ref="AA168">[1]!propssi("S","Q",1,"T",AB168,$Z$1)/1000</f>
        <v>#VALUE!</v>
      </c>
      <c r="AB168">
        <v>438</v>
      </c>
      <c r="AC168" cm="1">
        <f t="array" ref="AC168">[1]!propssi("S","Q",0,"T",AE168,$AC$1)/1000</f>
        <v>1.6494164223248018</v>
      </c>
      <c r="AD168" cm="1">
        <f t="array" ref="AD168">[1]!propssi("S","Q",1,"T",AE168,$AC$1)/1000</f>
        <v>1.76229587040867</v>
      </c>
      <c r="AE168">
        <v>438</v>
      </c>
      <c r="AF168" t="e" cm="1">
        <f t="array" ref="AF168">[1]!propssi("S","Q",0,"T",AH168,$AF$1)/1000</f>
        <v>#VALUE!</v>
      </c>
      <c r="AG168" t="e" cm="1">
        <f t="array" ref="AG168">[1]!propssi("S","Q",1,"T",AH168,$AF$1)/1000</f>
        <v>#VALUE!</v>
      </c>
      <c r="AH168">
        <v>438</v>
      </c>
      <c r="AI168" t="e" cm="1">
        <f t="array" ref="AI168">[1]!propssi("S","Q",0,"T",AK168,$AI$1)/1000</f>
        <v>#VALUE!</v>
      </c>
      <c r="AJ168" t="e" cm="1">
        <f t="array" ref="AJ168">[1]!propssi("S","Q",1,"T",AK168,$AI$1)/1000</f>
        <v>#VALUE!</v>
      </c>
      <c r="AK168">
        <v>438</v>
      </c>
    </row>
    <row r="169" spans="23:37" x14ac:dyDescent="0.3">
      <c r="W169" cm="1">
        <f t="array" ref="W169">[1]!propssi("S","Q",0,"T",Y169,$W$1)/1000</f>
        <v>1.6813913222963466</v>
      </c>
      <c r="X169" cm="1">
        <f t="array" ref="X169">[1]!propssi("S","Q",1,"T",Y169,$W$1)/1000</f>
        <v>1.7246268756233929</v>
      </c>
      <c r="Y169">
        <v>439</v>
      </c>
      <c r="Z169" t="e" cm="1">
        <f t="array" ref="Z169">[1]!propssi("S","Q",0,"T",AB169,$Z$1)/1000</f>
        <v>#VALUE!</v>
      </c>
      <c r="AA169" t="e" cm="1">
        <f t="array" ref="AA169">[1]!propssi("S","Q",1,"T",AB169,$Z$1)/1000</f>
        <v>#VALUE!</v>
      </c>
      <c r="AB169">
        <v>439</v>
      </c>
      <c r="AC169" cm="1">
        <f t="array" ref="AC169">[1]!propssi("S","Q",0,"T",AE169,$AC$1)/1000</f>
        <v>1.6547134063990732</v>
      </c>
      <c r="AD169" cm="1">
        <f t="array" ref="AD169">[1]!propssi("S","Q",1,"T",AE169,$AC$1)/1000</f>
        <v>1.7603775860053774</v>
      </c>
      <c r="AE169">
        <v>439</v>
      </c>
      <c r="AF169" t="e" cm="1">
        <f t="array" ref="AF169">[1]!propssi("S","Q",0,"T",AH169,$AF$1)/1000</f>
        <v>#VALUE!</v>
      </c>
      <c r="AG169" t="e" cm="1">
        <f t="array" ref="AG169">[1]!propssi("S","Q",1,"T",AH169,$AF$1)/1000</f>
        <v>#VALUE!</v>
      </c>
      <c r="AH169">
        <v>439</v>
      </c>
      <c r="AI169" t="e" cm="1">
        <f t="array" ref="AI169">[1]!propssi("S","Q",0,"T",AK169,$AI$1)/1000</f>
        <v>#VALUE!</v>
      </c>
      <c r="AJ169" t="e" cm="1">
        <f t="array" ref="AJ169">[1]!propssi("S","Q",1,"T",AK169,$AI$1)/1000</f>
        <v>#VALUE!</v>
      </c>
      <c r="AK169">
        <v>439</v>
      </c>
    </row>
    <row r="170" spans="23:37" x14ac:dyDescent="0.3">
      <c r="Y170">
        <v>440</v>
      </c>
      <c r="Z170" t="e" cm="1">
        <f t="array" ref="Z170">[1]!propssi("S","Q",0,"T",AB170,$Z$1)/1000</f>
        <v>#VALUE!</v>
      </c>
      <c r="AA170" t="e" cm="1">
        <f t="array" ref="AA170">[1]!propssi("S","Q",1,"T",AB170,$Z$1)/1000</f>
        <v>#VALUE!</v>
      </c>
      <c r="AB170">
        <v>440</v>
      </c>
      <c r="AC170" cm="1">
        <f t="array" ref="AC170">[1]!propssi("S","Q",0,"T",AE170,$AC$1)/1000</f>
        <v>1.6603106703928903</v>
      </c>
      <c r="AD170" cm="1">
        <f t="array" ref="AD170">[1]!propssi("S","Q",1,"T",AE170,$AC$1)/1000</f>
        <v>1.7580160188849403</v>
      </c>
      <c r="AE170">
        <v>440</v>
      </c>
      <c r="AF170" t="e" cm="1">
        <f t="array" ref="AF170">[1]!propssi("S","Q",0,"T",AH170,$AF$1)/1000</f>
        <v>#VALUE!</v>
      </c>
      <c r="AG170" t="e" cm="1">
        <f t="array" ref="AG170">[1]!propssi("S","Q",1,"T",AH170,$AF$1)/1000</f>
        <v>#VALUE!</v>
      </c>
      <c r="AH170">
        <v>440</v>
      </c>
      <c r="AI170" t="e" cm="1">
        <f t="array" ref="AI170">[1]!propssi("S","Q",0,"T",AK170,$AI$1)/1000</f>
        <v>#VALUE!</v>
      </c>
      <c r="AJ170" t="e" cm="1">
        <f t="array" ref="AJ170">[1]!propssi("S","Q",1,"T",AK170,$AI$1)/1000</f>
        <v>#VALUE!</v>
      </c>
      <c r="AK170">
        <v>440</v>
      </c>
    </row>
    <row r="171" spans="23:37" x14ac:dyDescent="0.3">
      <c r="Y171">
        <v>441</v>
      </c>
      <c r="Z171" t="e" cm="1">
        <f t="array" ref="Z171">[1]!propssi("S","Q",0,"T",AB171,$Z$1)/1000</f>
        <v>#VALUE!</v>
      </c>
      <c r="AA171" t="e" cm="1">
        <f t="array" ref="AA171">[1]!propssi("S","Q",1,"T",AB171,$Z$1)/1000</f>
        <v>#VALUE!</v>
      </c>
      <c r="AB171">
        <v>441</v>
      </c>
      <c r="AC171" cm="1">
        <f t="array" ref="AC171">[1]!propssi("S","Q",0,"T",AE171,$AC$1)/1000</f>
        <v>1.6663304587244183</v>
      </c>
      <c r="AD171" cm="1">
        <f t="array" ref="AD171">[1]!propssi("S","Q",1,"T",AE171,$AC$1)/1000</f>
        <v>1.7550402575425406</v>
      </c>
      <c r="AE171">
        <v>441</v>
      </c>
      <c r="AF171" t="e" cm="1">
        <f t="array" ref="AF171">[1]!propssi("S","Q",0,"T",AH171,$AF$1)/1000</f>
        <v>#VALUE!</v>
      </c>
      <c r="AG171" t="e" cm="1">
        <f t="array" ref="AG171">[1]!propssi("S","Q",1,"T",AH171,$AF$1)/1000</f>
        <v>#VALUE!</v>
      </c>
      <c r="AH171">
        <v>441</v>
      </c>
      <c r="AI171" t="e" cm="1">
        <f t="array" ref="AI171">[1]!propssi("S","Q",0,"T",AK171,$AI$1)/1000</f>
        <v>#VALUE!</v>
      </c>
      <c r="AJ171" t="e" cm="1">
        <f t="array" ref="AJ171">[1]!propssi("S","Q",1,"T",AK171,$AI$1)/1000</f>
        <v>#VALUE!</v>
      </c>
      <c r="AK171">
        <v>441</v>
      </c>
    </row>
    <row r="172" spans="23:37" x14ac:dyDescent="0.3">
      <c r="Y172">
        <v>442</v>
      </c>
      <c r="Z172" t="e" cm="1">
        <f t="array" ref="Z172">[1]!propssi("S","Q",0,"T",AB172,$Z$1)/1000</f>
        <v>#VALUE!</v>
      </c>
      <c r="AA172" t="e" cm="1">
        <f t="array" ref="AA172">[1]!propssi("S","Q",1,"T",AB172,$Z$1)/1000</f>
        <v>#VALUE!</v>
      </c>
      <c r="AB172">
        <v>442</v>
      </c>
      <c r="AC172" cm="1">
        <f t="array" ref="AC172">[1]!propssi("S","Q",0,"T",AE172,$AC$1)/1000</f>
        <v>1.6730008270467296</v>
      </c>
      <c r="AD172" cm="1">
        <f t="array" ref="AD172">[1]!propssi("S","Q",1,"T",AE172,$AC$1)/1000</f>
        <v>1.7511359975266469</v>
      </c>
      <c r="AE172">
        <v>442</v>
      </c>
      <c r="AF172" t="e" cm="1">
        <f t="array" ref="AF172">[1]!propssi("S","Q",0,"T",AH172,$AF$1)/1000</f>
        <v>#VALUE!</v>
      </c>
      <c r="AG172" t="e" cm="1">
        <f t="array" ref="AG172">[1]!propssi("S","Q",1,"T",AH172,$AF$1)/1000</f>
        <v>#VALUE!</v>
      </c>
      <c r="AH172">
        <v>442</v>
      </c>
      <c r="AI172" t="e" cm="1">
        <f t="array" ref="AI172">[1]!propssi("S","Q",0,"T",AK172,$AI$1)/1000</f>
        <v>#VALUE!</v>
      </c>
      <c r="AJ172" t="e" cm="1">
        <f t="array" ref="AJ172">[1]!propssi("S","Q",1,"T",AK172,$AI$1)/1000</f>
        <v>#VALUE!</v>
      </c>
      <c r="AK172">
        <v>442</v>
      </c>
    </row>
    <row r="173" spans="23:37" x14ac:dyDescent="0.3">
      <c r="Y173">
        <v>443</v>
      </c>
      <c r="Z173" t="e" cm="1">
        <f t="array" ref="Z173">[1]!propssi("S","Q",0,"T",AB173,$Z$1)/1000</f>
        <v>#VALUE!</v>
      </c>
      <c r="AA173" t="e" cm="1">
        <f t="array" ref="AA173">[1]!propssi("S","Q",1,"T",AB173,$Z$1)/1000</f>
        <v>#VALUE!</v>
      </c>
      <c r="AB173">
        <v>443</v>
      </c>
      <c r="AC173" cm="1">
        <f t="array" ref="AC173">[1]!propssi("S","Q",0,"T",AE173,$AC$1)/1000</f>
        <v>1.6808492619592188</v>
      </c>
      <c r="AD173" cm="1">
        <f t="array" ref="AD173">[1]!propssi("S","Q",1,"T",AE173,$AC$1)/1000</f>
        <v>1.745590146299286</v>
      </c>
      <c r="AE173">
        <v>443</v>
      </c>
      <c r="AF173" t="e" cm="1">
        <f t="array" ref="AF173">[1]!propssi("S","Q",0,"T",AH173,$AF$1)/1000</f>
        <v>#VALUE!</v>
      </c>
      <c r="AG173" t="e" cm="1">
        <f t="array" ref="AG173">[1]!propssi("S","Q",1,"T",AH173,$AF$1)/1000</f>
        <v>#VALUE!</v>
      </c>
      <c r="AH173">
        <v>443</v>
      </c>
      <c r="AI173" t="e" cm="1">
        <f t="array" ref="AI173">[1]!propssi("S","Q",0,"T",AK173,$AI$1)/1000</f>
        <v>#VALUE!</v>
      </c>
      <c r="AJ173" t="e" cm="1">
        <f t="array" ref="AJ173">[1]!propssi("S","Q",1,"T",AK173,$AI$1)/1000</f>
        <v>#VALUE!</v>
      </c>
      <c r="AK173">
        <v>443</v>
      </c>
    </row>
    <row r="174" spans="23:37" x14ac:dyDescent="0.3">
      <c r="Y174">
        <v>444</v>
      </c>
      <c r="Z174" t="e" cm="1">
        <f t="array" ref="Z174">[1]!propssi("S","Q",0,"T",AB174,$Z$1)/1000</f>
        <v>#VALUE!</v>
      </c>
      <c r="AA174" t="e" cm="1">
        <f t="array" ref="AA174">[1]!propssi("S","Q",1,"T",AB174,$Z$1)/1000</f>
        <v>#VALUE!</v>
      </c>
      <c r="AB174">
        <v>444</v>
      </c>
      <c r="AC174" cm="1">
        <f t="array" ref="AC174">[1]!propssi("S","Q",0,"T",AE174,$AC$1)/1000</f>
        <v>1.6919079364094032</v>
      </c>
      <c r="AD174" cm="1">
        <f t="array" ref="AD174">[1]!propssi("S","Q",1,"T",AE174,$AC$1)/1000</f>
        <v>1.7357403613306401</v>
      </c>
      <c r="AE174">
        <v>444</v>
      </c>
      <c r="AF174" t="e" cm="1">
        <f t="array" ref="AF174">[1]!propssi("S","Q",0,"T",AH174,$AF$1)/1000</f>
        <v>#VALUE!</v>
      </c>
      <c r="AG174" t="e" cm="1">
        <f t="array" ref="AG174">[1]!propssi("S","Q",1,"T",AH174,$AF$1)/1000</f>
        <v>#VALUE!</v>
      </c>
      <c r="AH174">
        <v>444</v>
      </c>
      <c r="AI174" t="e" cm="1">
        <f t="array" ref="AI174">[1]!propssi("S","Q",0,"T",AK174,$AI$1)/1000</f>
        <v>#VALUE!</v>
      </c>
      <c r="AJ174" t="e" cm="1">
        <f t="array" ref="AJ174">[1]!propssi("S","Q",1,"T",AK174,$AI$1)/1000</f>
        <v>#VALUE!</v>
      </c>
      <c r="AK174">
        <v>444</v>
      </c>
    </row>
    <row r="175" spans="23:37" x14ac:dyDescent="0.3">
      <c r="Y175">
        <v>445</v>
      </c>
      <c r="Z175" t="e" cm="1">
        <f t="array" ref="Z175">[1]!propssi("S","Q",0,"T",AB175,$Z$1)/1000</f>
        <v>#VALUE!</v>
      </c>
      <c r="AA175" t="e" cm="1">
        <f t="array" ref="AA175">[1]!propssi("S","Q",1,"T",AB175,$Z$1)/1000</f>
        <v>#VALUE!</v>
      </c>
      <c r="AB175">
        <v>445</v>
      </c>
      <c r="AC175" t="e" cm="1">
        <f t="array" ref="AC175">[1]!propssi("S","Q",0,"T",AE175,$AC$1)/1000</f>
        <v>#VALUE!</v>
      </c>
      <c r="AD175" t="e" cm="1">
        <f t="array" ref="AD175">[1]!propssi("S","Q",1,"T",AE175,$AC$1)/1000</f>
        <v>#VALUE!</v>
      </c>
      <c r="AE175">
        <v>445</v>
      </c>
      <c r="AF175" t="e" cm="1">
        <f t="array" ref="AF175">[1]!propssi("S","Q",0,"T",AH175,$AF$1)/1000</f>
        <v>#VALUE!</v>
      </c>
      <c r="AG175" t="e" cm="1">
        <f t="array" ref="AG175">[1]!propssi("S","Q",1,"T",AH175,$AF$1)/1000</f>
        <v>#VALUE!</v>
      </c>
      <c r="AH175">
        <v>445</v>
      </c>
      <c r="AI175" t="e" cm="1">
        <f t="array" ref="AI175">[1]!propssi("S","Q",0,"T",AK175,$AI$1)/1000</f>
        <v>#VALUE!</v>
      </c>
      <c r="AJ175" t="e" cm="1">
        <f t="array" ref="AJ175">[1]!propssi("S","Q",1,"T",AK175,$AI$1)/1000</f>
        <v>#VALUE!</v>
      </c>
      <c r="AK175">
        <v>445</v>
      </c>
    </row>
    <row r="176" spans="23:37" x14ac:dyDescent="0.3">
      <c r="Y176">
        <v>446</v>
      </c>
      <c r="Z176" t="e" cm="1">
        <f t="array" ref="Z176">[1]!propssi("S","Q",0,"T",AB176,$Z$1)/1000</f>
        <v>#VALUE!</v>
      </c>
      <c r="AA176" t="e" cm="1">
        <f t="array" ref="AA176">[1]!propssi("S","Q",1,"T",AB176,$Z$1)/1000</f>
        <v>#VALUE!</v>
      </c>
      <c r="AB176">
        <v>446</v>
      </c>
      <c r="AC176" t="e" cm="1">
        <f t="array" ref="AC176">[1]!propssi("S","Q",0,"T",AE176,$AC$1)/1000</f>
        <v>#VALUE!</v>
      </c>
      <c r="AD176" t="e" cm="1">
        <f t="array" ref="AD176">[1]!propssi("S","Q",1,"T",AE176,$AC$1)/1000</f>
        <v>#VALUE!</v>
      </c>
      <c r="AE176">
        <v>446</v>
      </c>
      <c r="AF176" t="e" cm="1">
        <f t="array" ref="AF176">[1]!propssi("S","Q",0,"T",AH176,$AF$1)/1000</f>
        <v>#VALUE!</v>
      </c>
      <c r="AG176" t="e" cm="1">
        <f t="array" ref="AG176">[1]!propssi("S","Q",1,"T",AH176,$AF$1)/1000</f>
        <v>#VALUE!</v>
      </c>
      <c r="AH176">
        <v>446</v>
      </c>
      <c r="AI176" t="e" cm="1">
        <f t="array" ref="AI176">[1]!propssi("S","Q",0,"T",AK176,$AI$1)/1000</f>
        <v>#VALUE!</v>
      </c>
      <c r="AJ176" t="e" cm="1">
        <f t="array" ref="AJ176">[1]!propssi("S","Q",1,"T",AK176,$AI$1)/1000</f>
        <v>#VALUE!</v>
      </c>
      <c r="AK176">
        <v>446</v>
      </c>
    </row>
    <row r="177" spans="25:37" x14ac:dyDescent="0.3">
      <c r="Y177">
        <v>447</v>
      </c>
      <c r="Z177" t="e" cm="1">
        <f t="array" ref="Z177">[1]!propssi("S","Q",0,"T",AB177,$Z$1)/1000</f>
        <v>#VALUE!</v>
      </c>
      <c r="AA177" t="e" cm="1">
        <f t="array" ref="AA177">[1]!propssi("S","Q",1,"T",AB177,$Z$1)/1000</f>
        <v>#VALUE!</v>
      </c>
      <c r="AB177">
        <v>447</v>
      </c>
      <c r="AC177" t="e" cm="1">
        <f t="array" ref="AC177">[1]!propssi("S","Q",0,"T",AE177,$AC$1)/1000</f>
        <v>#VALUE!</v>
      </c>
      <c r="AD177" t="e" cm="1">
        <f t="array" ref="AD177">[1]!propssi("S","Q",1,"T",AE177,$AC$1)/1000</f>
        <v>#VALUE!</v>
      </c>
      <c r="AE177">
        <v>447</v>
      </c>
      <c r="AF177" t="e" cm="1">
        <f t="array" ref="AF177">[1]!propssi("S","Q",0,"T",AH177,$AF$1)/1000</f>
        <v>#VALUE!</v>
      </c>
      <c r="AG177" t="e" cm="1">
        <f t="array" ref="AG177">[1]!propssi("S","Q",1,"T",AH177,$AF$1)/1000</f>
        <v>#VALUE!</v>
      </c>
      <c r="AH177">
        <v>447</v>
      </c>
      <c r="AI177" t="e" cm="1">
        <f t="array" ref="AI177">[1]!propssi("S","Q",0,"T",AK177,$AI$1)/1000</f>
        <v>#VALUE!</v>
      </c>
      <c r="AJ177" t="e" cm="1">
        <f t="array" ref="AJ177">[1]!propssi("S","Q",1,"T",AK177,$AI$1)/1000</f>
        <v>#VALUE!</v>
      </c>
      <c r="AK177">
        <v>447</v>
      </c>
    </row>
    <row r="178" spans="25:37" x14ac:dyDescent="0.3">
      <c r="Y178">
        <v>448</v>
      </c>
      <c r="Z178" t="e" cm="1">
        <f t="array" ref="Z178">[1]!propssi("S","Q",0,"T",AB178,$Z$1)/1000</f>
        <v>#VALUE!</v>
      </c>
      <c r="AA178" t="e" cm="1">
        <f t="array" ref="AA178">[1]!propssi("S","Q",1,"T",AB178,$Z$1)/1000</f>
        <v>#VALUE!</v>
      </c>
      <c r="AB178">
        <v>448</v>
      </c>
      <c r="AC178" t="e" cm="1">
        <f t="array" ref="AC178">[1]!propssi("S","Q",0,"T",AE178,$AC$1)/1000</f>
        <v>#VALUE!</v>
      </c>
      <c r="AD178" t="e" cm="1">
        <f t="array" ref="AD178">[1]!propssi("S","Q",1,"T",AE178,$AC$1)/1000</f>
        <v>#VALUE!</v>
      </c>
      <c r="AE178">
        <v>448</v>
      </c>
      <c r="AF178" t="e" cm="1">
        <f t="array" ref="AF178">[1]!propssi("S","Q",0,"T",AH178,$AF$1)/1000</f>
        <v>#VALUE!</v>
      </c>
      <c r="AG178" t="e" cm="1">
        <f t="array" ref="AG178">[1]!propssi("S","Q",1,"T",AH178,$AF$1)/1000</f>
        <v>#VALUE!</v>
      </c>
      <c r="AH178">
        <v>448</v>
      </c>
      <c r="AI178" t="e" cm="1">
        <f t="array" ref="AI178">[1]!propssi("S","Q",0,"T",AK178,$AI$1)/1000</f>
        <v>#VALUE!</v>
      </c>
      <c r="AJ178" t="e" cm="1">
        <f t="array" ref="AJ178">[1]!propssi("S","Q",1,"T",AK178,$AI$1)/1000</f>
        <v>#VALUE!</v>
      </c>
      <c r="AK178">
        <v>448</v>
      </c>
    </row>
    <row r="179" spans="25:37" x14ac:dyDescent="0.3">
      <c r="Y179">
        <v>449</v>
      </c>
      <c r="Z179" t="e" cm="1">
        <f t="array" ref="Z179">[1]!propssi("S","Q",0,"T",AB179,$Z$1)/1000</f>
        <v>#VALUE!</v>
      </c>
      <c r="AA179" t="e" cm="1">
        <f t="array" ref="AA179">[1]!propssi("S","Q",1,"T",AB179,$Z$1)/1000</f>
        <v>#VALUE!</v>
      </c>
      <c r="AB179">
        <v>449</v>
      </c>
      <c r="AC179" t="e" cm="1">
        <f t="array" ref="AC179">[1]!propssi("S","Q",0,"T",AE179,$AC$1)/1000</f>
        <v>#VALUE!</v>
      </c>
      <c r="AD179" t="e" cm="1">
        <f t="array" ref="AD179">[1]!propssi("S","Q",1,"T",AE179,$AC$1)/1000</f>
        <v>#VALUE!</v>
      </c>
      <c r="AE179">
        <v>449</v>
      </c>
      <c r="AF179" t="e" cm="1">
        <f t="array" ref="AF179">[1]!propssi("S","Q",0,"T",AH179,$AF$1)/1000</f>
        <v>#VALUE!</v>
      </c>
      <c r="AG179" t="e" cm="1">
        <f t="array" ref="AG179">[1]!propssi("S","Q",1,"T",AH179,$AF$1)/1000</f>
        <v>#VALUE!</v>
      </c>
      <c r="AH179">
        <v>449</v>
      </c>
      <c r="AI179" t="e" cm="1">
        <f t="array" ref="AI179">[1]!propssi("S","Q",0,"T",AK179,$AI$1)/1000</f>
        <v>#VALUE!</v>
      </c>
      <c r="AJ179" t="e" cm="1">
        <f t="array" ref="AJ179">[1]!propssi("S","Q",1,"T",AK179,$AI$1)/1000</f>
        <v>#VALUE!</v>
      </c>
      <c r="AK179">
        <v>449</v>
      </c>
    </row>
    <row r="180" spans="25:37" x14ac:dyDescent="0.3">
      <c r="Y180">
        <v>450</v>
      </c>
      <c r="Z180" t="e" cm="1">
        <f t="array" ref="Z180">[1]!propssi("S","Q",0,"T",AB180,$Z$1)/1000</f>
        <v>#VALUE!</v>
      </c>
      <c r="AA180" t="e" cm="1">
        <f t="array" ref="AA180">[1]!propssi("S","Q",1,"T",AB180,$Z$1)/1000</f>
        <v>#VALUE!</v>
      </c>
      <c r="AB180">
        <v>450</v>
      </c>
      <c r="AC180" t="e" cm="1">
        <f t="array" ref="AC180">[1]!propssi("S","Q",0,"T",AE180,$AC$1)/1000</f>
        <v>#VALUE!</v>
      </c>
      <c r="AD180" t="e" cm="1">
        <f t="array" ref="AD180">[1]!propssi("S","Q",1,"T",AE180,$AC$1)/1000</f>
        <v>#VALUE!</v>
      </c>
      <c r="AE180">
        <v>450</v>
      </c>
      <c r="AF180" t="e" cm="1">
        <f t="array" ref="AF180">[1]!propssi("S","Q",0,"T",AH180,$AF$1)/1000</f>
        <v>#VALUE!</v>
      </c>
      <c r="AG180" t="e" cm="1">
        <f t="array" ref="AG180">[1]!propssi("S","Q",1,"T",AH180,$AF$1)/1000</f>
        <v>#VALUE!</v>
      </c>
      <c r="AH180">
        <v>450</v>
      </c>
      <c r="AI180" t="e" cm="1">
        <f t="array" ref="AI180">[1]!propssi("S","Q",0,"T",AK180,$AI$1)/1000</f>
        <v>#VALUE!</v>
      </c>
      <c r="AJ180" t="e" cm="1">
        <f t="array" ref="AJ180">[1]!propssi("S","Q",1,"T",AK180,$AI$1)/1000</f>
        <v>#VALUE!</v>
      </c>
      <c r="AK180">
        <v>450</v>
      </c>
    </row>
    <row r="181" spans="25:37" x14ac:dyDescent="0.3">
      <c r="Y181">
        <v>451</v>
      </c>
      <c r="Z181" t="e" cm="1">
        <f t="array" ref="Z181">[1]!propssi("S","Q",0,"T",AB181,$Z$1)/1000</f>
        <v>#VALUE!</v>
      </c>
      <c r="AA181" t="e" cm="1">
        <f t="array" ref="AA181">[1]!propssi("S","Q",1,"T",AB181,$Z$1)/1000</f>
        <v>#VALUE!</v>
      </c>
      <c r="AB181">
        <v>451</v>
      </c>
      <c r="AC181" t="e" cm="1">
        <f t="array" ref="AC181">[1]!propssi("S","Q",0,"T",AE181,$AC$1)/1000</f>
        <v>#VALUE!</v>
      </c>
      <c r="AD181" t="e" cm="1">
        <f t="array" ref="AD181">[1]!propssi("S","Q",1,"T",AE181,$AC$1)/1000</f>
        <v>#VALUE!</v>
      </c>
      <c r="AE181">
        <v>451</v>
      </c>
      <c r="AF181" t="e" cm="1">
        <f t="array" ref="AF181">[1]!propssi("S","Q",0,"T",AH181,$AF$1)/1000</f>
        <v>#VALUE!</v>
      </c>
      <c r="AG181" t="e" cm="1">
        <f t="array" ref="AG181">[1]!propssi("S","Q",1,"T",AH181,$AF$1)/1000</f>
        <v>#VALUE!</v>
      </c>
      <c r="AH181">
        <v>451</v>
      </c>
      <c r="AI181" t="e" cm="1">
        <f t="array" ref="AI181">[1]!propssi("S","Q",0,"T",AK181,$AI$1)/1000</f>
        <v>#VALUE!</v>
      </c>
      <c r="AJ181" t="e" cm="1">
        <f t="array" ref="AJ181">[1]!propssi("S","Q",1,"T",AK181,$AI$1)/1000</f>
        <v>#VALUE!</v>
      </c>
      <c r="AK181">
        <v>451</v>
      </c>
    </row>
    <row r="182" spans="25:37" x14ac:dyDescent="0.3">
      <c r="Y182">
        <v>452</v>
      </c>
      <c r="Z182" t="e" cm="1">
        <f t="array" ref="Z182">[1]!propssi("S","Q",0,"T",AB182,$Z$1)/1000</f>
        <v>#VALUE!</v>
      </c>
      <c r="AA182" t="e" cm="1">
        <f t="array" ref="AA182">[1]!propssi("S","Q",1,"T",AB182,$Z$1)/1000</f>
        <v>#VALUE!</v>
      </c>
      <c r="AB182">
        <v>452</v>
      </c>
      <c r="AC182" t="e" cm="1">
        <f t="array" ref="AC182">[1]!propssi("S","Q",0,"T",AE182,$AC$1)/1000</f>
        <v>#VALUE!</v>
      </c>
      <c r="AD182" t="e" cm="1">
        <f t="array" ref="AD182">[1]!propssi("S","Q",1,"T",AE182,$AC$1)/1000</f>
        <v>#VALUE!</v>
      </c>
      <c r="AE182">
        <v>452</v>
      </c>
      <c r="AF182" t="e" cm="1">
        <f t="array" ref="AF182">[1]!propssi("S","Q",0,"T",AH182,$AF$1)/1000</f>
        <v>#VALUE!</v>
      </c>
      <c r="AG182" t="e" cm="1">
        <f t="array" ref="AG182">[1]!propssi("S","Q",1,"T",AH182,$AF$1)/1000</f>
        <v>#VALUE!</v>
      </c>
      <c r="AH182">
        <v>452</v>
      </c>
      <c r="AI182" t="e" cm="1">
        <f t="array" ref="AI182">[1]!propssi("S","Q",0,"T",AK182,$AI$1)/1000</f>
        <v>#VALUE!</v>
      </c>
      <c r="AJ182" t="e" cm="1">
        <f t="array" ref="AJ182">[1]!propssi("S","Q",1,"T",AK182,$AI$1)/1000</f>
        <v>#VALUE!</v>
      </c>
      <c r="AK182">
        <v>452</v>
      </c>
    </row>
    <row r="183" spans="25:37" x14ac:dyDescent="0.3">
      <c r="Y183">
        <v>453</v>
      </c>
      <c r="Z183" t="e" cm="1">
        <f t="array" ref="Z183">[1]!propssi("S","Q",0,"T",AB183,$Z$1)/1000</f>
        <v>#VALUE!</v>
      </c>
      <c r="AA183" t="e" cm="1">
        <f t="array" ref="AA183">[1]!propssi("S","Q",1,"T",AB183,$Z$1)/1000</f>
        <v>#VALUE!</v>
      </c>
      <c r="AB183">
        <v>453</v>
      </c>
      <c r="AC183" t="e" cm="1">
        <f t="array" ref="AC183">[1]!propssi("S","Q",0,"T",AE183,$AC$1)/1000</f>
        <v>#VALUE!</v>
      </c>
      <c r="AD183" t="e" cm="1">
        <f t="array" ref="AD183">[1]!propssi("S","Q",1,"T",AE183,$AC$1)/1000</f>
        <v>#VALUE!</v>
      </c>
      <c r="AE183">
        <v>453</v>
      </c>
      <c r="AF183" t="e" cm="1">
        <f t="array" ref="AF183">[1]!propssi("S","Q",0,"T",AH183,$AF$1)/1000</f>
        <v>#VALUE!</v>
      </c>
      <c r="AG183" t="e" cm="1">
        <f t="array" ref="AG183">[1]!propssi("S","Q",1,"T",AH183,$AF$1)/1000</f>
        <v>#VALUE!</v>
      </c>
      <c r="AH183">
        <v>453</v>
      </c>
      <c r="AI183" t="e" cm="1">
        <f t="array" ref="AI183">[1]!propssi("S","Q",0,"T",AK183,$AI$1)/1000</f>
        <v>#VALUE!</v>
      </c>
      <c r="AJ183" t="e" cm="1">
        <f t="array" ref="AJ183">[1]!propssi("S","Q",1,"T",AK183,$AI$1)/1000</f>
        <v>#VALUE!</v>
      </c>
      <c r="AK183">
        <v>453</v>
      </c>
    </row>
    <row r="184" spans="25:37" x14ac:dyDescent="0.3">
      <c r="Y184">
        <v>454</v>
      </c>
      <c r="Z184" t="e" cm="1">
        <f t="array" ref="Z184">[1]!propssi("S","Q",0,"T",AB184,$Z$1)/1000</f>
        <v>#VALUE!</v>
      </c>
      <c r="AA184" t="e" cm="1">
        <f t="array" ref="AA184">[1]!propssi("S","Q",1,"T",AB184,$Z$1)/1000</f>
        <v>#VALUE!</v>
      </c>
      <c r="AB184">
        <v>454</v>
      </c>
      <c r="AC184" t="e" cm="1">
        <f t="array" ref="AC184">[1]!propssi("S","Q",0,"T",AE184,$AC$1)/1000</f>
        <v>#VALUE!</v>
      </c>
      <c r="AD184" t="e" cm="1">
        <f t="array" ref="AD184">[1]!propssi("S","Q",1,"T",AE184,$AC$1)/1000</f>
        <v>#VALUE!</v>
      </c>
      <c r="AE184">
        <v>454</v>
      </c>
      <c r="AF184" t="e" cm="1">
        <f t="array" ref="AF184">[1]!propssi("S","Q",0,"T",AH184,$AF$1)/1000</f>
        <v>#VALUE!</v>
      </c>
      <c r="AG184" t="e" cm="1">
        <f t="array" ref="AG184">[1]!propssi("S","Q",1,"T",AH184,$AF$1)/1000</f>
        <v>#VALUE!</v>
      </c>
      <c r="AH184">
        <v>454</v>
      </c>
      <c r="AI184" t="e" cm="1">
        <f t="array" ref="AI184">[1]!propssi("S","Q",0,"T",AK184,$AI$1)/1000</f>
        <v>#VALUE!</v>
      </c>
      <c r="AJ184" t="e" cm="1">
        <f t="array" ref="AJ184">[1]!propssi("S","Q",1,"T",AK184,$AI$1)/1000</f>
        <v>#VALUE!</v>
      </c>
      <c r="AK184">
        <v>454</v>
      </c>
    </row>
    <row r="185" spans="25:37" x14ac:dyDescent="0.3">
      <c r="Y185">
        <v>455</v>
      </c>
      <c r="Z185" t="e" cm="1">
        <f t="array" ref="Z185">[1]!propssi("S","Q",0,"T",AB185,$Z$1)/1000</f>
        <v>#VALUE!</v>
      </c>
      <c r="AA185" t="e" cm="1">
        <f t="array" ref="AA185">[1]!propssi("S","Q",1,"T",AB185,$Z$1)/1000</f>
        <v>#VALUE!</v>
      </c>
      <c r="AB185">
        <v>455</v>
      </c>
      <c r="AC185" t="e" cm="1">
        <f t="array" ref="AC185">[1]!propssi("S","Q",0,"T",AE185,$AC$1)/1000</f>
        <v>#VALUE!</v>
      </c>
      <c r="AD185" t="e" cm="1">
        <f t="array" ref="AD185">[1]!propssi("S","Q",1,"T",AE185,$AC$1)/1000</f>
        <v>#VALUE!</v>
      </c>
      <c r="AE185">
        <v>455</v>
      </c>
      <c r="AF185" t="e" cm="1">
        <f t="array" ref="AF185">[1]!propssi("S","Q",0,"T",AH185,$AF$1)/1000</f>
        <v>#VALUE!</v>
      </c>
      <c r="AG185" t="e" cm="1">
        <f t="array" ref="AG185">[1]!propssi("S","Q",1,"T",AH185,$AF$1)/1000</f>
        <v>#VALUE!</v>
      </c>
      <c r="AH185">
        <v>455</v>
      </c>
      <c r="AI185" t="e" cm="1">
        <f t="array" ref="AI185">[1]!propssi("S","Q",0,"T",AK185,$AI$1)/1000</f>
        <v>#VALUE!</v>
      </c>
      <c r="AJ185" t="e" cm="1">
        <f t="array" ref="AJ185">[1]!propssi("S","Q",1,"T",AK185,$AI$1)/1000</f>
        <v>#VALUE!</v>
      </c>
      <c r="AK185">
        <v>455</v>
      </c>
    </row>
    <row r="186" spans="25:37" x14ac:dyDescent="0.3">
      <c r="Y186">
        <v>456</v>
      </c>
      <c r="Z186" t="e" cm="1">
        <f t="array" ref="Z186">[1]!propssi("S","Q",0,"T",AB186,$Z$1)/1000</f>
        <v>#VALUE!</v>
      </c>
      <c r="AA186" t="e" cm="1">
        <f t="array" ref="AA186">[1]!propssi("S","Q",1,"T",AB186,$Z$1)/1000</f>
        <v>#VALUE!</v>
      </c>
      <c r="AB186">
        <v>456</v>
      </c>
      <c r="AC186" t="e" cm="1">
        <f t="array" ref="AC186">[1]!propssi("S","Q",0,"T",AE186,$AC$1)/1000</f>
        <v>#VALUE!</v>
      </c>
      <c r="AD186" t="e" cm="1">
        <f t="array" ref="AD186">[1]!propssi("S","Q",1,"T",AE186,$AC$1)/1000</f>
        <v>#VALUE!</v>
      </c>
      <c r="AE186">
        <v>456</v>
      </c>
      <c r="AF186" t="e" cm="1">
        <f t="array" ref="AF186">[1]!propssi("S","Q",0,"T",AH186,$AF$1)/1000</f>
        <v>#VALUE!</v>
      </c>
      <c r="AG186" t="e" cm="1">
        <f t="array" ref="AG186">[1]!propssi("S","Q",1,"T",AH186,$AF$1)/1000</f>
        <v>#VALUE!</v>
      </c>
      <c r="AH186">
        <v>456</v>
      </c>
      <c r="AI186" t="e" cm="1">
        <f t="array" ref="AI186">[1]!propssi("S","Q",0,"T",AK186,$AI$1)/1000</f>
        <v>#VALUE!</v>
      </c>
      <c r="AJ186" t="e" cm="1">
        <f t="array" ref="AJ186">[1]!propssi("S","Q",1,"T",AK186,$AI$1)/1000</f>
        <v>#VALUE!</v>
      </c>
      <c r="AK186">
        <v>456</v>
      </c>
    </row>
    <row r="187" spans="25:37" x14ac:dyDescent="0.3">
      <c r="Y187">
        <v>457</v>
      </c>
      <c r="Z187" t="e" cm="1">
        <f t="array" ref="Z187">[1]!propssi("S","Q",0,"T",AB187,$Z$1)/1000</f>
        <v>#VALUE!</v>
      </c>
      <c r="AA187" t="e" cm="1">
        <f t="array" ref="AA187">[1]!propssi("S","Q",1,"T",AB187,$Z$1)/1000</f>
        <v>#VALUE!</v>
      </c>
      <c r="AB187">
        <v>457</v>
      </c>
      <c r="AC187" t="e" cm="1">
        <f t="array" ref="AC187">[1]!propssi("S","Q",0,"T",AE187,$AC$1)/1000</f>
        <v>#VALUE!</v>
      </c>
      <c r="AD187" t="e" cm="1">
        <f t="array" ref="AD187">[1]!propssi("S","Q",1,"T",AE187,$AC$1)/1000</f>
        <v>#VALUE!</v>
      </c>
      <c r="AE187">
        <v>457</v>
      </c>
      <c r="AF187" t="e" cm="1">
        <f t="array" ref="AF187">[1]!propssi("S","Q",0,"T",AH187,$AF$1)/1000</f>
        <v>#VALUE!</v>
      </c>
      <c r="AG187" t="e" cm="1">
        <f t="array" ref="AG187">[1]!propssi("S","Q",1,"T",AH187,$AF$1)/1000</f>
        <v>#VALUE!</v>
      </c>
      <c r="AH187">
        <v>457</v>
      </c>
      <c r="AI187" t="e" cm="1">
        <f t="array" ref="AI187">[1]!propssi("S","Q",0,"T",AK187,$AI$1)/1000</f>
        <v>#VALUE!</v>
      </c>
      <c r="AJ187" t="e" cm="1">
        <f t="array" ref="AJ187">[1]!propssi("S","Q",1,"T",AK187,$AI$1)/1000</f>
        <v>#VALUE!</v>
      </c>
      <c r="AK187">
        <v>457</v>
      </c>
    </row>
    <row r="188" spans="25:37" x14ac:dyDescent="0.3">
      <c r="Y188">
        <v>458</v>
      </c>
      <c r="Z188" t="e" cm="1">
        <f t="array" ref="Z188">[1]!propssi("S","Q",0,"T",AB188,$Z$1)/1000</f>
        <v>#VALUE!</v>
      </c>
      <c r="AA188" t="e" cm="1">
        <f t="array" ref="AA188">[1]!propssi("S","Q",1,"T",AB188,$Z$1)/1000</f>
        <v>#VALUE!</v>
      </c>
      <c r="AB188">
        <v>458</v>
      </c>
      <c r="AC188" t="e" cm="1">
        <f t="array" ref="AC188">[1]!propssi("S","Q",0,"T",AE188,$AC$1)/1000</f>
        <v>#VALUE!</v>
      </c>
      <c r="AD188" t="e" cm="1">
        <f t="array" ref="AD188">[1]!propssi("S","Q",1,"T",AE188,$AC$1)/1000</f>
        <v>#VALUE!</v>
      </c>
      <c r="AE188">
        <v>458</v>
      </c>
      <c r="AF188" t="e" cm="1">
        <f t="array" ref="AF188">[1]!propssi("S","Q",0,"T",AH188,$AF$1)/1000</f>
        <v>#VALUE!</v>
      </c>
      <c r="AG188" t="e" cm="1">
        <f t="array" ref="AG188">[1]!propssi("S","Q",1,"T",AH188,$AF$1)/1000</f>
        <v>#VALUE!</v>
      </c>
      <c r="AH188">
        <v>458</v>
      </c>
      <c r="AI188" t="e" cm="1">
        <f t="array" ref="AI188">[1]!propssi("S","Q",0,"T",AK188,$AI$1)/1000</f>
        <v>#VALUE!</v>
      </c>
      <c r="AJ188" t="e" cm="1">
        <f t="array" ref="AJ188">[1]!propssi("S","Q",1,"T",AK188,$AI$1)/1000</f>
        <v>#VALUE!</v>
      </c>
      <c r="AK188">
        <v>458</v>
      </c>
    </row>
    <row r="189" spans="25:37" x14ac:dyDescent="0.3">
      <c r="Y189">
        <v>459</v>
      </c>
      <c r="Z189" t="e" cm="1">
        <f t="array" ref="Z189">[1]!propssi("S","Q",0,"T",AB189,$Z$1)/1000</f>
        <v>#VALUE!</v>
      </c>
      <c r="AA189" t="e" cm="1">
        <f t="array" ref="AA189">[1]!propssi("S","Q",1,"T",AB189,$Z$1)/1000</f>
        <v>#VALUE!</v>
      </c>
      <c r="AB189">
        <v>459</v>
      </c>
      <c r="AC189" t="e" cm="1">
        <f t="array" ref="AC189">[1]!propssi("S","Q",0,"T",AE189,$AC$1)/1000</f>
        <v>#VALUE!</v>
      </c>
      <c r="AD189" t="e" cm="1">
        <f t="array" ref="AD189">[1]!propssi("S","Q",1,"T",AE189,$AC$1)/1000</f>
        <v>#VALUE!</v>
      </c>
      <c r="AE189">
        <v>459</v>
      </c>
      <c r="AF189" t="e" cm="1">
        <f t="array" ref="AF189">[1]!propssi("S","Q",0,"T",AH189,$AF$1)/1000</f>
        <v>#VALUE!</v>
      </c>
      <c r="AG189" t="e" cm="1">
        <f t="array" ref="AG189">[1]!propssi("S","Q",1,"T",AH189,$AF$1)/1000</f>
        <v>#VALUE!</v>
      </c>
      <c r="AH189">
        <v>459</v>
      </c>
      <c r="AI189" t="e" cm="1">
        <f t="array" ref="AI189">[1]!propssi("S","Q",0,"T",AK189,$AI$1)/1000</f>
        <v>#VALUE!</v>
      </c>
      <c r="AJ189" t="e" cm="1">
        <f t="array" ref="AJ189">[1]!propssi("S","Q",1,"T",AK189,$AI$1)/1000</f>
        <v>#VALUE!</v>
      </c>
      <c r="AK189">
        <v>459</v>
      </c>
    </row>
    <row r="190" spans="25:37" x14ac:dyDescent="0.3">
      <c r="Y190">
        <v>460</v>
      </c>
      <c r="Z190" t="e" cm="1">
        <f t="array" ref="Z190">[1]!propssi("S","Q",0,"T",AB190,$Z$1)/1000</f>
        <v>#VALUE!</v>
      </c>
      <c r="AA190" t="e" cm="1">
        <f t="array" ref="AA190">[1]!propssi("S","Q",1,"T",AB190,$Z$1)/1000</f>
        <v>#VALUE!</v>
      </c>
      <c r="AB190">
        <v>460</v>
      </c>
      <c r="AC190" t="e" cm="1">
        <f t="array" ref="AC190">[1]!propssi("S","Q",0,"T",AE190,$AC$1)/1000</f>
        <v>#VALUE!</v>
      </c>
      <c r="AD190" t="e" cm="1">
        <f t="array" ref="AD190">[1]!propssi("S","Q",1,"T",AE190,$AC$1)/1000</f>
        <v>#VALUE!</v>
      </c>
      <c r="AE190">
        <v>460</v>
      </c>
      <c r="AF190" t="e" cm="1">
        <f t="array" ref="AF190">[1]!propssi("S","Q",0,"T",AH190,$AF$1)/1000</f>
        <v>#VALUE!</v>
      </c>
      <c r="AG190" t="e" cm="1">
        <f t="array" ref="AG190">[1]!propssi("S","Q",1,"T",AH190,$AF$1)/1000</f>
        <v>#VALUE!</v>
      </c>
      <c r="AH190">
        <v>460</v>
      </c>
      <c r="AI190" t="e" cm="1">
        <f t="array" ref="AI190">[1]!propssi("S","Q",0,"T",AK190,$AI$1)/1000</f>
        <v>#VALUE!</v>
      </c>
      <c r="AJ190" t="e" cm="1">
        <f t="array" ref="AJ190">[1]!propssi("S","Q",1,"T",AK190,$AI$1)/1000</f>
        <v>#VALUE!</v>
      </c>
      <c r="AK190">
        <v>460</v>
      </c>
    </row>
    <row r="191" spans="25:37" x14ac:dyDescent="0.3">
      <c r="Y191">
        <v>461</v>
      </c>
      <c r="Z191" t="e" cm="1">
        <f t="array" ref="Z191">[1]!propssi("S","Q",0,"T",AB191,$Z$1)/1000</f>
        <v>#VALUE!</v>
      </c>
      <c r="AA191" t="e" cm="1">
        <f t="array" ref="AA191">[1]!propssi("S","Q",1,"T",AB191,$Z$1)/1000</f>
        <v>#VALUE!</v>
      </c>
      <c r="AB191">
        <v>461</v>
      </c>
      <c r="AC191" t="e" cm="1">
        <f t="array" ref="AC191">[1]!propssi("S","Q",0,"T",AE191,$AC$1)/1000</f>
        <v>#VALUE!</v>
      </c>
      <c r="AD191" t="e" cm="1">
        <f t="array" ref="AD191">[1]!propssi("S","Q",1,"T",AE191,$AC$1)/1000</f>
        <v>#VALUE!</v>
      </c>
      <c r="AE191">
        <v>461</v>
      </c>
      <c r="AF191" t="e" cm="1">
        <f t="array" ref="AF191">[1]!propssi("S","Q",0,"T",AH191,$AF$1)/1000</f>
        <v>#VALUE!</v>
      </c>
      <c r="AG191" t="e" cm="1">
        <f t="array" ref="AG191">[1]!propssi("S","Q",1,"T",AH191,$AF$1)/1000</f>
        <v>#VALUE!</v>
      </c>
      <c r="AH191">
        <v>461</v>
      </c>
      <c r="AI191" t="e" cm="1">
        <f t="array" ref="AI191">[1]!propssi("S","Q",0,"T",AK191,$AI$1)/1000</f>
        <v>#VALUE!</v>
      </c>
      <c r="AJ191" t="e" cm="1">
        <f t="array" ref="AJ191">[1]!propssi("S","Q",1,"T",AK191,$AI$1)/1000</f>
        <v>#VALUE!</v>
      </c>
      <c r="AK191">
        <v>461</v>
      </c>
    </row>
    <row r="192" spans="25:37" x14ac:dyDescent="0.3">
      <c r="Y192">
        <v>462</v>
      </c>
      <c r="Z192" t="e" cm="1">
        <f t="array" ref="Z192">[1]!propssi("S","Q",0,"T",AB192,$Z$1)/1000</f>
        <v>#VALUE!</v>
      </c>
      <c r="AA192" t="e" cm="1">
        <f t="array" ref="AA192">[1]!propssi("S","Q",1,"T",AB192,$Z$1)/1000</f>
        <v>#VALUE!</v>
      </c>
      <c r="AB192">
        <v>462</v>
      </c>
      <c r="AC192" t="e" cm="1">
        <f t="array" ref="AC192">[1]!propssi("S","Q",0,"T",AE192,$AC$1)/1000</f>
        <v>#VALUE!</v>
      </c>
      <c r="AD192" t="e" cm="1">
        <f t="array" ref="AD192">[1]!propssi("S","Q",1,"T",AE192,$AC$1)/1000</f>
        <v>#VALUE!</v>
      </c>
      <c r="AE192">
        <v>462</v>
      </c>
      <c r="AF192" t="e" cm="1">
        <f t="array" ref="AF192">[1]!propssi("S","Q",0,"T",AH192,$AF$1)/1000</f>
        <v>#VALUE!</v>
      </c>
      <c r="AG192" t="e" cm="1">
        <f t="array" ref="AG192">[1]!propssi("S","Q",1,"T",AH192,$AF$1)/1000</f>
        <v>#VALUE!</v>
      </c>
      <c r="AH192">
        <v>462</v>
      </c>
      <c r="AI192" t="e" cm="1">
        <f t="array" ref="AI192">[1]!propssi("S","Q",0,"T",AK192,$AI$1)/1000</f>
        <v>#VALUE!</v>
      </c>
      <c r="AJ192" t="e" cm="1">
        <f t="array" ref="AJ192">[1]!propssi("S","Q",1,"T",AK192,$AI$1)/1000</f>
        <v>#VALUE!</v>
      </c>
      <c r="AK192">
        <v>462</v>
      </c>
    </row>
    <row r="193" spans="25:37" x14ac:dyDescent="0.3">
      <c r="Y193">
        <v>463</v>
      </c>
      <c r="Z193" t="e" cm="1">
        <f t="array" ref="Z193">[1]!propssi("S","Q",0,"T",AB193,$Z$1)/1000</f>
        <v>#VALUE!</v>
      </c>
      <c r="AA193" t="e" cm="1">
        <f t="array" ref="AA193">[1]!propssi("S","Q",1,"T",AB193,$Z$1)/1000</f>
        <v>#VALUE!</v>
      </c>
      <c r="AB193">
        <v>463</v>
      </c>
      <c r="AC193" t="e" cm="1">
        <f t="array" ref="AC193">[1]!propssi("S","Q",0,"T",AE193,$AC$1)/1000</f>
        <v>#VALUE!</v>
      </c>
      <c r="AD193" t="e" cm="1">
        <f t="array" ref="AD193">[1]!propssi("S","Q",1,"T",AE193,$AC$1)/1000</f>
        <v>#VALUE!</v>
      </c>
      <c r="AE193">
        <v>463</v>
      </c>
      <c r="AF193" t="e" cm="1">
        <f t="array" ref="AF193">[1]!propssi("S","Q",0,"T",AH193,$AF$1)/1000</f>
        <v>#VALUE!</v>
      </c>
      <c r="AG193" t="e" cm="1">
        <f t="array" ref="AG193">[1]!propssi("S","Q",1,"T",AH193,$AF$1)/1000</f>
        <v>#VALUE!</v>
      </c>
      <c r="AH193">
        <v>463</v>
      </c>
      <c r="AI193" t="e" cm="1">
        <f t="array" ref="AI193">[1]!propssi("S","Q",0,"T",AK193,$AI$1)/1000</f>
        <v>#VALUE!</v>
      </c>
      <c r="AJ193" t="e" cm="1">
        <f t="array" ref="AJ193">[1]!propssi("S","Q",1,"T",AK193,$AI$1)/1000</f>
        <v>#VALUE!</v>
      </c>
      <c r="AK193">
        <v>463</v>
      </c>
    </row>
    <row r="194" spans="25:37" x14ac:dyDescent="0.3">
      <c r="Y194">
        <v>464</v>
      </c>
      <c r="Z194" t="e" cm="1">
        <f t="array" ref="Z194">[1]!propssi("S","Q",0,"T",AB194,$Z$1)/1000</f>
        <v>#VALUE!</v>
      </c>
      <c r="AA194" t="e" cm="1">
        <f t="array" ref="AA194">[1]!propssi("S","Q",1,"T",AB194,$Z$1)/1000</f>
        <v>#VALUE!</v>
      </c>
      <c r="AB194">
        <v>464</v>
      </c>
      <c r="AC194" t="e" cm="1">
        <f t="array" ref="AC194">[1]!propssi("S","Q",0,"T",AE194,$AC$1)/1000</f>
        <v>#VALUE!</v>
      </c>
      <c r="AD194" t="e" cm="1">
        <f t="array" ref="AD194">[1]!propssi("S","Q",1,"T",AE194,$AC$1)/1000</f>
        <v>#VALUE!</v>
      </c>
      <c r="AE194">
        <v>464</v>
      </c>
      <c r="AF194" t="e" cm="1">
        <f t="array" ref="AF194">[1]!propssi("S","Q",0,"T",AH194,$AF$1)/1000</f>
        <v>#VALUE!</v>
      </c>
      <c r="AG194" t="e" cm="1">
        <f t="array" ref="AG194">[1]!propssi("S","Q",1,"T",AH194,$AF$1)/1000</f>
        <v>#VALUE!</v>
      </c>
      <c r="AH194">
        <v>464</v>
      </c>
      <c r="AI194" t="e" cm="1">
        <f t="array" ref="AI194">[1]!propssi("S","Q",0,"T",AK194,$AI$1)/1000</f>
        <v>#VALUE!</v>
      </c>
      <c r="AJ194" t="e" cm="1">
        <f t="array" ref="AJ194">[1]!propssi("S","Q",1,"T",AK194,$AI$1)/1000</f>
        <v>#VALUE!</v>
      </c>
      <c r="AK194">
        <v>464</v>
      </c>
    </row>
    <row r="195" spans="25:37" x14ac:dyDescent="0.3">
      <c r="Y195">
        <v>465</v>
      </c>
      <c r="Z195" t="e" cm="1">
        <f t="array" ref="Z195">[1]!propssi("S","Q",0,"T",AB195,$Z$1)/1000</f>
        <v>#VALUE!</v>
      </c>
      <c r="AA195" t="e" cm="1">
        <f t="array" ref="AA195">[1]!propssi("S","Q",1,"T",AB195,$Z$1)/1000</f>
        <v>#VALUE!</v>
      </c>
      <c r="AB195">
        <v>465</v>
      </c>
      <c r="AC195" t="e" cm="1">
        <f t="array" ref="AC195">[1]!propssi("S","Q",0,"T",AE195,$AC$1)/1000</f>
        <v>#VALUE!</v>
      </c>
      <c r="AD195" t="e" cm="1">
        <f t="array" ref="AD195">[1]!propssi("S","Q",1,"T",AE195,$AC$1)/1000</f>
        <v>#VALUE!</v>
      </c>
      <c r="AE195">
        <v>465</v>
      </c>
      <c r="AF195" t="e" cm="1">
        <f t="array" ref="AF195">[1]!propssi("S","Q",0,"T",AH195,$AF$1)/1000</f>
        <v>#VALUE!</v>
      </c>
      <c r="AG195" t="e" cm="1">
        <f t="array" ref="AG195">[1]!propssi("S","Q",1,"T",AH195,$AF$1)/1000</f>
        <v>#VALUE!</v>
      </c>
      <c r="AH195">
        <v>465</v>
      </c>
      <c r="AI195" t="e" cm="1">
        <f t="array" ref="AI195">[1]!propssi("S","Q",0,"T",AK195,$AI$1)/1000</f>
        <v>#VALUE!</v>
      </c>
      <c r="AJ195" t="e" cm="1">
        <f t="array" ref="AJ195">[1]!propssi("S","Q",1,"T",AK195,$AI$1)/1000</f>
        <v>#VALUE!</v>
      </c>
      <c r="AK195">
        <v>465</v>
      </c>
    </row>
    <row r="196" spans="25:37" x14ac:dyDescent="0.3">
      <c r="Y196">
        <v>466</v>
      </c>
      <c r="Z196" t="e" cm="1">
        <f t="array" ref="Z196">[1]!propssi("S","Q",0,"T",AB196,$Z$1)/1000</f>
        <v>#VALUE!</v>
      </c>
      <c r="AA196" t="e" cm="1">
        <f t="array" ref="AA196">[1]!propssi("S","Q",1,"T",AB196,$Z$1)/1000</f>
        <v>#VALUE!</v>
      </c>
      <c r="AB196">
        <v>466</v>
      </c>
      <c r="AC196" t="e" cm="1">
        <f t="array" ref="AC196">[1]!propssi("S","Q",0,"T",AE196,$AC$1)/1000</f>
        <v>#VALUE!</v>
      </c>
      <c r="AD196" t="e" cm="1">
        <f t="array" ref="AD196">[1]!propssi("S","Q",1,"T",AE196,$AC$1)/1000</f>
        <v>#VALUE!</v>
      </c>
      <c r="AE196">
        <v>466</v>
      </c>
      <c r="AF196" t="e" cm="1">
        <f t="array" ref="AF196">[1]!propssi("S","Q",0,"T",AH196,$AF$1)/1000</f>
        <v>#VALUE!</v>
      </c>
      <c r="AG196" t="e" cm="1">
        <f t="array" ref="AG196">[1]!propssi("S","Q",1,"T",AH196,$AF$1)/1000</f>
        <v>#VALUE!</v>
      </c>
      <c r="AH196">
        <v>466</v>
      </c>
      <c r="AI196" t="e" cm="1">
        <f t="array" ref="AI196">[1]!propssi("S","Q",0,"T",AK196,$AI$1)/1000</f>
        <v>#VALUE!</v>
      </c>
      <c r="AJ196" t="e" cm="1">
        <f t="array" ref="AJ196">[1]!propssi("S","Q",1,"T",AK196,$AI$1)/1000</f>
        <v>#VALUE!</v>
      </c>
      <c r="AK196">
        <v>466</v>
      </c>
    </row>
    <row r="197" spans="25:37" x14ac:dyDescent="0.3">
      <c r="Y197">
        <v>467</v>
      </c>
      <c r="Z197" t="e" cm="1">
        <f t="array" ref="Z197">[1]!propssi("S","Q",0,"T",AB197,$Z$1)/1000</f>
        <v>#VALUE!</v>
      </c>
      <c r="AA197" t="e" cm="1">
        <f t="array" ref="AA197">[1]!propssi("S","Q",1,"T",AB197,$Z$1)/1000</f>
        <v>#VALUE!</v>
      </c>
      <c r="AB197">
        <v>467</v>
      </c>
      <c r="AC197" t="e" cm="1">
        <f t="array" ref="AC197">[1]!propssi("S","Q",0,"T",AE197,$AC$1)/1000</f>
        <v>#VALUE!</v>
      </c>
      <c r="AD197" t="e" cm="1">
        <f t="array" ref="AD197">[1]!propssi("S","Q",1,"T",AE197,$AC$1)/1000</f>
        <v>#VALUE!</v>
      </c>
      <c r="AE197">
        <v>467</v>
      </c>
      <c r="AF197" t="e" cm="1">
        <f t="array" ref="AF197">[1]!propssi("S","Q",0,"T",AH197,$AF$1)/1000</f>
        <v>#VALUE!</v>
      </c>
      <c r="AG197" t="e" cm="1">
        <f t="array" ref="AG197">[1]!propssi("S","Q",1,"T",AH197,$AF$1)/1000</f>
        <v>#VALUE!</v>
      </c>
      <c r="AH197">
        <v>467</v>
      </c>
      <c r="AI197" t="e" cm="1">
        <f t="array" ref="AI197">[1]!propssi("S","Q",0,"T",AK197,$AI$1)/1000</f>
        <v>#VALUE!</v>
      </c>
      <c r="AJ197" t="e" cm="1">
        <f t="array" ref="AJ197">[1]!propssi("S","Q",1,"T",AK197,$AI$1)/1000</f>
        <v>#VALUE!</v>
      </c>
      <c r="AK197">
        <v>467</v>
      </c>
    </row>
    <row r="198" spans="25:37" x14ac:dyDescent="0.3">
      <c r="Y198">
        <v>468</v>
      </c>
      <c r="Z198" t="e" cm="1">
        <f t="array" ref="Z198">[1]!propssi("S","Q",0,"T",AB198,$Z$1)/1000</f>
        <v>#VALUE!</v>
      </c>
      <c r="AA198" t="e" cm="1">
        <f t="array" ref="AA198">[1]!propssi("S","Q",1,"T",AB198,$Z$1)/1000</f>
        <v>#VALUE!</v>
      </c>
      <c r="AB198">
        <v>468</v>
      </c>
      <c r="AC198" t="e" cm="1">
        <f t="array" ref="AC198">[1]!propssi("S","Q",0,"T",AE198,$AC$1)/1000</f>
        <v>#VALUE!</v>
      </c>
      <c r="AD198" t="e" cm="1">
        <f t="array" ref="AD198">[1]!propssi("S","Q",1,"T",AE198,$AC$1)/1000</f>
        <v>#VALUE!</v>
      </c>
      <c r="AE198">
        <v>468</v>
      </c>
      <c r="AF198" t="e" cm="1">
        <f t="array" ref="AF198">[1]!propssi("S","Q",0,"T",AH198,$AF$1)/1000</f>
        <v>#VALUE!</v>
      </c>
      <c r="AG198" t="e" cm="1">
        <f t="array" ref="AG198">[1]!propssi("S","Q",1,"T",AH198,$AF$1)/1000</f>
        <v>#VALUE!</v>
      </c>
      <c r="AH198">
        <v>468</v>
      </c>
      <c r="AI198" t="e" cm="1">
        <f t="array" ref="AI198">[1]!propssi("S","Q",0,"T",AK198,$AI$1)/1000</f>
        <v>#VALUE!</v>
      </c>
      <c r="AJ198" t="e" cm="1">
        <f t="array" ref="AJ198">[1]!propssi("S","Q",1,"T",AK198,$AI$1)/1000</f>
        <v>#VALUE!</v>
      </c>
      <c r="AK198">
        <v>468</v>
      </c>
    </row>
    <row r="199" spans="25:37" x14ac:dyDescent="0.3">
      <c r="Y199">
        <v>469</v>
      </c>
      <c r="Z199" t="e" cm="1">
        <f t="array" ref="Z199">[1]!propssi("S","Q",0,"T",AB199,$Z$1)/1000</f>
        <v>#VALUE!</v>
      </c>
      <c r="AA199" t="e" cm="1">
        <f t="array" ref="AA199">[1]!propssi("S","Q",1,"T",AB199,$Z$1)/1000</f>
        <v>#VALUE!</v>
      </c>
      <c r="AB199">
        <v>469</v>
      </c>
      <c r="AC199" t="e" cm="1">
        <f t="array" ref="AC199">[1]!propssi("S","Q",0,"T",AE199,$AC$1)/1000</f>
        <v>#VALUE!</v>
      </c>
      <c r="AD199" t="e" cm="1">
        <f t="array" ref="AD199">[1]!propssi("S","Q",1,"T",AE199,$AC$1)/1000</f>
        <v>#VALUE!</v>
      </c>
      <c r="AE199">
        <v>469</v>
      </c>
      <c r="AF199" t="e" cm="1">
        <f t="array" ref="AF199">[1]!propssi("S","Q",0,"T",AH199,$AF$1)/1000</f>
        <v>#VALUE!</v>
      </c>
      <c r="AG199" t="e" cm="1">
        <f t="array" ref="AG199">[1]!propssi("S","Q",1,"T",AH199,$AF$1)/1000</f>
        <v>#VALUE!</v>
      </c>
      <c r="AH199">
        <v>469</v>
      </c>
      <c r="AI199" t="e" cm="1">
        <f t="array" ref="AI199">[1]!propssi("S","Q",0,"T",AK199,$AI$1)/1000</f>
        <v>#VALUE!</v>
      </c>
      <c r="AJ199" t="e" cm="1">
        <f t="array" ref="AJ199">[1]!propssi("S","Q",1,"T",AK199,$AI$1)/1000</f>
        <v>#VALUE!</v>
      </c>
      <c r="AK199">
        <v>469</v>
      </c>
    </row>
    <row r="200" spans="25:37" x14ac:dyDescent="0.3">
      <c r="Y200">
        <v>470</v>
      </c>
      <c r="Z200" t="e" cm="1">
        <f t="array" ref="Z200">[1]!propssi("S","Q",0,"T",AB200,$Z$1)/1000</f>
        <v>#VALUE!</v>
      </c>
      <c r="AA200" t="e" cm="1">
        <f t="array" ref="AA200">[1]!propssi("S","Q",1,"T",AB200,$Z$1)/1000</f>
        <v>#VALUE!</v>
      </c>
      <c r="AB200">
        <v>470</v>
      </c>
      <c r="AC200" t="e" cm="1">
        <f t="array" ref="AC200">[1]!propssi("S","Q",0,"T",AE200,$AC$1)/1000</f>
        <v>#VALUE!</v>
      </c>
      <c r="AD200" t="e" cm="1">
        <f t="array" ref="AD200">[1]!propssi("S","Q",1,"T",AE200,$AC$1)/1000</f>
        <v>#VALUE!</v>
      </c>
      <c r="AE200">
        <v>470</v>
      </c>
      <c r="AF200" t="e" cm="1">
        <f t="array" ref="AF200">[1]!propssi("S","Q",0,"T",AH200,$AF$1)/1000</f>
        <v>#VALUE!</v>
      </c>
      <c r="AG200" t="e" cm="1">
        <f t="array" ref="AG200">[1]!propssi("S","Q",1,"T",AH200,$AF$1)/1000</f>
        <v>#VALUE!</v>
      </c>
      <c r="AH200">
        <v>470</v>
      </c>
      <c r="AI200" t="e" cm="1">
        <f t="array" ref="AI200">[1]!propssi("S","Q",0,"T",AK200,$AI$1)/1000</f>
        <v>#VALUE!</v>
      </c>
      <c r="AJ200" t="e" cm="1">
        <f t="array" ref="AJ200">[1]!propssi("S","Q",1,"T",AK200,$AI$1)/1000</f>
        <v>#VALUE!</v>
      </c>
      <c r="AK200">
        <v>470</v>
      </c>
    </row>
    <row r="201" spans="25:37" x14ac:dyDescent="0.3">
      <c r="Y201">
        <v>471</v>
      </c>
      <c r="Z201" t="e" cm="1">
        <f t="array" ref="Z201">[1]!propssi("S","Q",0,"T",AB201,$Z$1)/1000</f>
        <v>#VALUE!</v>
      </c>
      <c r="AA201" t="e" cm="1">
        <f t="array" ref="AA201">[1]!propssi("S","Q",1,"T",AB201,$Z$1)/1000</f>
        <v>#VALUE!</v>
      </c>
      <c r="AB201">
        <v>471</v>
      </c>
      <c r="AC201" t="e" cm="1">
        <f t="array" ref="AC201">[1]!propssi("S","Q",0,"T",AE201,$AC$1)/1000</f>
        <v>#VALUE!</v>
      </c>
      <c r="AD201" t="e" cm="1">
        <f t="array" ref="AD201">[1]!propssi("S","Q",1,"T",AE201,$AC$1)/1000</f>
        <v>#VALUE!</v>
      </c>
      <c r="AE201">
        <v>471</v>
      </c>
      <c r="AF201" t="e" cm="1">
        <f t="array" ref="AF201">[1]!propssi("S","Q",0,"T",AH201,$AF$1)/1000</f>
        <v>#VALUE!</v>
      </c>
      <c r="AG201" t="e" cm="1">
        <f t="array" ref="AG201">[1]!propssi("S","Q",1,"T",AH201,$AF$1)/1000</f>
        <v>#VALUE!</v>
      </c>
      <c r="AH201">
        <v>471</v>
      </c>
      <c r="AI201" t="e" cm="1">
        <f t="array" ref="AI201">[1]!propssi("S","Q",0,"T",AK201,$AI$1)/1000</f>
        <v>#VALUE!</v>
      </c>
      <c r="AJ201" t="e" cm="1">
        <f t="array" ref="AJ201">[1]!propssi("S","Q",1,"T",AK201,$AI$1)/1000</f>
        <v>#VALUE!</v>
      </c>
      <c r="AK201">
        <v>471</v>
      </c>
    </row>
    <row r="202" spans="25:37" x14ac:dyDescent="0.3">
      <c r="Y202">
        <v>472</v>
      </c>
      <c r="Z202" t="e" cm="1">
        <f t="array" ref="Z202">[1]!propssi("S","Q",0,"T",AB202,$Z$1)/1000</f>
        <v>#VALUE!</v>
      </c>
      <c r="AA202" t="e" cm="1">
        <f t="array" ref="AA202">[1]!propssi("S","Q",1,"T",AB202,$Z$1)/1000</f>
        <v>#VALUE!</v>
      </c>
      <c r="AB202">
        <v>472</v>
      </c>
      <c r="AC202" t="e" cm="1">
        <f t="array" ref="AC202">[1]!propssi("S","Q",0,"T",AE202,$AC$1)/1000</f>
        <v>#VALUE!</v>
      </c>
      <c r="AD202" t="e" cm="1">
        <f t="array" ref="AD202">[1]!propssi("S","Q",1,"T",AE202,$AC$1)/1000</f>
        <v>#VALUE!</v>
      </c>
      <c r="AE202">
        <v>472</v>
      </c>
      <c r="AF202" t="e" cm="1">
        <f t="array" ref="AF202">[1]!propssi("S","Q",0,"T",AH202,$AF$1)/1000</f>
        <v>#VALUE!</v>
      </c>
      <c r="AG202" t="e" cm="1">
        <f t="array" ref="AG202">[1]!propssi("S","Q",1,"T",AH202,$AF$1)/1000</f>
        <v>#VALUE!</v>
      </c>
      <c r="AH202">
        <v>472</v>
      </c>
      <c r="AI202" t="e" cm="1">
        <f t="array" ref="AI202">[1]!propssi("S","Q",0,"T",AK202,$AI$1)/1000</f>
        <v>#VALUE!</v>
      </c>
      <c r="AJ202" t="e" cm="1">
        <f t="array" ref="AJ202">[1]!propssi("S","Q",1,"T",AK202,$AI$1)/1000</f>
        <v>#VALUE!</v>
      </c>
      <c r="AK202">
        <v>472</v>
      </c>
    </row>
    <row r="203" spans="25:37" x14ac:dyDescent="0.3">
      <c r="Y203">
        <v>473</v>
      </c>
      <c r="Z203" t="e" cm="1">
        <f t="array" ref="Z203">[1]!propssi("S","Q",0,"T",AB203,$Z$1)/1000</f>
        <v>#VALUE!</v>
      </c>
      <c r="AA203" t="e" cm="1">
        <f t="array" ref="AA203">[1]!propssi("S","Q",1,"T",AB203,$Z$1)/1000</f>
        <v>#VALUE!</v>
      </c>
      <c r="AB203">
        <v>473</v>
      </c>
      <c r="AC203" t="e" cm="1">
        <f t="array" ref="AC203">[1]!propssi("S","Q",0,"T",AE203,$AC$1)/1000</f>
        <v>#VALUE!</v>
      </c>
      <c r="AD203" t="e" cm="1">
        <f t="array" ref="AD203">[1]!propssi("S","Q",1,"T",AE203,$AC$1)/1000</f>
        <v>#VALUE!</v>
      </c>
      <c r="AE203">
        <v>473</v>
      </c>
      <c r="AF203" t="e" cm="1">
        <f t="array" ref="AF203">[1]!propssi("S","Q",0,"T",AH203,$AF$1)/1000</f>
        <v>#VALUE!</v>
      </c>
      <c r="AG203" t="e" cm="1">
        <f t="array" ref="AG203">[1]!propssi("S","Q",1,"T",AH203,$AF$1)/1000</f>
        <v>#VALUE!</v>
      </c>
      <c r="AH203">
        <v>473</v>
      </c>
      <c r="AI203" t="e" cm="1">
        <f t="array" ref="AI203">[1]!propssi("S","Q",0,"T",AK203,$AI$1)/1000</f>
        <v>#VALUE!</v>
      </c>
      <c r="AJ203" t="e" cm="1">
        <f t="array" ref="AJ203">[1]!propssi("S","Q",1,"T",AK203,$AI$1)/1000</f>
        <v>#VALUE!</v>
      </c>
      <c r="AK203">
        <v>473</v>
      </c>
    </row>
    <row r="204" spans="25:37" x14ac:dyDescent="0.3">
      <c r="Y204">
        <v>474</v>
      </c>
      <c r="Z204" t="e" cm="1">
        <f t="array" ref="Z204">[1]!propssi("S","Q",0,"T",AB204,$Z$1)/1000</f>
        <v>#VALUE!</v>
      </c>
      <c r="AA204" t="e" cm="1">
        <f t="array" ref="AA204">[1]!propssi("S","Q",1,"T",AB204,$Z$1)/1000</f>
        <v>#VALUE!</v>
      </c>
      <c r="AB204">
        <v>474</v>
      </c>
      <c r="AC204" t="e" cm="1">
        <f t="array" ref="AC204">[1]!propssi("S","Q",0,"T",AE204,$AC$1)/1000</f>
        <v>#VALUE!</v>
      </c>
      <c r="AD204" t="e" cm="1">
        <f t="array" ref="AD204">[1]!propssi("S","Q",1,"T",AE204,$AC$1)/1000</f>
        <v>#VALUE!</v>
      </c>
      <c r="AE204">
        <v>474</v>
      </c>
      <c r="AF204" t="e" cm="1">
        <f t="array" ref="AF204">[1]!propssi("S","Q",0,"T",AH204,$AF$1)/1000</f>
        <v>#VALUE!</v>
      </c>
      <c r="AG204" t="e" cm="1">
        <f t="array" ref="AG204">[1]!propssi("S","Q",1,"T",AH204,$AF$1)/1000</f>
        <v>#VALUE!</v>
      </c>
      <c r="AH204">
        <v>474</v>
      </c>
      <c r="AI204" t="e" cm="1">
        <f t="array" ref="AI204">[1]!propssi("S","Q",0,"T",AK204,$AI$1)/1000</f>
        <v>#VALUE!</v>
      </c>
      <c r="AJ204" t="e" cm="1">
        <f t="array" ref="AJ204">[1]!propssi("S","Q",1,"T",AK204,$AI$1)/1000</f>
        <v>#VALUE!</v>
      </c>
      <c r="AK204">
        <v>474</v>
      </c>
    </row>
    <row r="205" spans="25:37" x14ac:dyDescent="0.3">
      <c r="Y205">
        <v>475</v>
      </c>
      <c r="Z205" t="e" cm="1">
        <f t="array" ref="Z205">[1]!propssi("S","Q",0,"T",AB205,$Z$1)/1000</f>
        <v>#VALUE!</v>
      </c>
      <c r="AA205" t="e" cm="1">
        <f t="array" ref="AA205">[1]!propssi("S","Q",1,"T",AB205,$Z$1)/1000</f>
        <v>#VALUE!</v>
      </c>
      <c r="AB205">
        <v>475</v>
      </c>
      <c r="AC205" t="e" cm="1">
        <f t="array" ref="AC205">[1]!propssi("S","Q",0,"T",AE205,$AC$1)/1000</f>
        <v>#VALUE!</v>
      </c>
      <c r="AD205" t="e" cm="1">
        <f t="array" ref="AD205">[1]!propssi("S","Q",1,"T",AE205,$AC$1)/1000</f>
        <v>#VALUE!</v>
      </c>
      <c r="AE205">
        <v>475</v>
      </c>
      <c r="AF205" t="e" cm="1">
        <f t="array" ref="AF205">[1]!propssi("S","Q",0,"T",AH205,$AF$1)/1000</f>
        <v>#VALUE!</v>
      </c>
      <c r="AG205" t="e" cm="1">
        <f t="array" ref="AG205">[1]!propssi("S","Q",1,"T",AH205,$AF$1)/1000</f>
        <v>#VALUE!</v>
      </c>
      <c r="AH205">
        <v>475</v>
      </c>
      <c r="AI205" t="e" cm="1">
        <f t="array" ref="AI205">[1]!propssi("S","Q",0,"T",AK205,$AI$1)/1000</f>
        <v>#VALUE!</v>
      </c>
      <c r="AJ205" t="e" cm="1">
        <f t="array" ref="AJ205">[1]!propssi("S","Q",1,"T",AK205,$AI$1)/1000</f>
        <v>#VALUE!</v>
      </c>
      <c r="AK205">
        <v>475</v>
      </c>
    </row>
    <row r="206" spans="25:37" x14ac:dyDescent="0.3">
      <c r="Y206">
        <v>476</v>
      </c>
      <c r="Z206" t="e" cm="1">
        <f t="array" ref="Z206">[1]!propssi("S","Q",0,"T",AB206,$Z$1)/1000</f>
        <v>#VALUE!</v>
      </c>
      <c r="AA206" t="e" cm="1">
        <f t="array" ref="AA206">[1]!propssi("S","Q",1,"T",AB206,$Z$1)/1000</f>
        <v>#VALUE!</v>
      </c>
      <c r="AB206">
        <v>476</v>
      </c>
      <c r="AC206" t="e" cm="1">
        <f t="array" ref="AC206">[1]!propssi("S","Q",0,"T",AE206,$AC$1)/1000</f>
        <v>#VALUE!</v>
      </c>
      <c r="AD206" t="e" cm="1">
        <f t="array" ref="AD206">[1]!propssi("S","Q",1,"T",AE206,$AC$1)/1000</f>
        <v>#VALUE!</v>
      </c>
      <c r="AE206">
        <v>476</v>
      </c>
      <c r="AF206" t="e" cm="1">
        <f t="array" ref="AF206">[1]!propssi("S","Q",0,"T",AH206,$AF$1)/1000</f>
        <v>#VALUE!</v>
      </c>
      <c r="AG206" t="e" cm="1">
        <f t="array" ref="AG206">[1]!propssi("S","Q",1,"T",AH206,$AF$1)/1000</f>
        <v>#VALUE!</v>
      </c>
      <c r="AH206">
        <v>476</v>
      </c>
      <c r="AI206" t="e" cm="1">
        <f t="array" ref="AI206">[1]!propssi("S","Q",0,"T",AK206,$AI$1)/1000</f>
        <v>#VALUE!</v>
      </c>
      <c r="AJ206" t="e" cm="1">
        <f t="array" ref="AJ206">[1]!propssi("S","Q",1,"T",AK206,$AI$1)/1000</f>
        <v>#VALUE!</v>
      </c>
      <c r="AK206">
        <v>476</v>
      </c>
    </row>
    <row r="207" spans="25:37" x14ac:dyDescent="0.3">
      <c r="Y207">
        <v>477</v>
      </c>
      <c r="Z207" t="e" cm="1">
        <f t="array" ref="Z207">[1]!propssi("S","Q",0,"T",AB207,$Z$1)/1000</f>
        <v>#VALUE!</v>
      </c>
      <c r="AA207" t="e" cm="1">
        <f t="array" ref="AA207">[1]!propssi("S","Q",1,"T",AB207,$Z$1)/1000</f>
        <v>#VALUE!</v>
      </c>
      <c r="AB207">
        <v>477</v>
      </c>
      <c r="AC207" t="e" cm="1">
        <f t="array" ref="AC207">[1]!propssi("S","Q",0,"T",AE207,$AC$1)/1000</f>
        <v>#VALUE!</v>
      </c>
      <c r="AD207" t="e" cm="1">
        <f t="array" ref="AD207">[1]!propssi("S","Q",1,"T",AE207,$AC$1)/1000</f>
        <v>#VALUE!</v>
      </c>
      <c r="AE207">
        <v>477</v>
      </c>
      <c r="AF207" t="e" cm="1">
        <f t="array" ref="AF207">[1]!propssi("S","Q",0,"T",AH207,$AF$1)/1000</f>
        <v>#VALUE!</v>
      </c>
      <c r="AG207" t="e" cm="1">
        <f t="array" ref="AG207">[1]!propssi("S","Q",1,"T",AH207,$AF$1)/1000</f>
        <v>#VALUE!</v>
      </c>
      <c r="AH207">
        <v>477</v>
      </c>
      <c r="AI207" t="e" cm="1">
        <f t="array" ref="AI207">[1]!propssi("S","Q",0,"T",AK207,$AI$1)/1000</f>
        <v>#VALUE!</v>
      </c>
      <c r="AJ207" t="e" cm="1">
        <f t="array" ref="AJ207">[1]!propssi("S","Q",1,"T",AK207,$AI$1)/1000</f>
        <v>#VALUE!</v>
      </c>
      <c r="AK207">
        <v>477</v>
      </c>
    </row>
    <row r="208" spans="25:37" x14ac:dyDescent="0.3">
      <c r="Y208">
        <v>478</v>
      </c>
      <c r="Z208" t="e" cm="1">
        <f t="array" ref="Z208">[1]!propssi("S","Q",0,"T",AB208,$Z$1)/1000</f>
        <v>#VALUE!</v>
      </c>
      <c r="AA208" t="e" cm="1">
        <f t="array" ref="AA208">[1]!propssi("S","Q",1,"T",AB208,$Z$1)/1000</f>
        <v>#VALUE!</v>
      </c>
      <c r="AB208">
        <v>478</v>
      </c>
      <c r="AC208" t="e" cm="1">
        <f t="array" ref="AC208">[1]!propssi("S","Q",0,"T",AE208,$AC$1)/1000</f>
        <v>#VALUE!</v>
      </c>
      <c r="AD208" t="e" cm="1">
        <f t="array" ref="AD208">[1]!propssi("S","Q",1,"T",AE208,$AC$1)/1000</f>
        <v>#VALUE!</v>
      </c>
      <c r="AE208">
        <v>478</v>
      </c>
      <c r="AF208" t="e" cm="1">
        <f t="array" ref="AF208">[1]!propssi("S","Q",0,"T",AH208,$AF$1)/1000</f>
        <v>#VALUE!</v>
      </c>
      <c r="AG208" t="e" cm="1">
        <f t="array" ref="AG208">[1]!propssi("S","Q",1,"T",AH208,$AF$1)/1000</f>
        <v>#VALUE!</v>
      </c>
      <c r="AH208">
        <v>478</v>
      </c>
      <c r="AI208" t="e" cm="1">
        <f t="array" ref="AI208">[1]!propssi("S","Q",0,"T",AK208,$AI$1)/1000</f>
        <v>#VALUE!</v>
      </c>
      <c r="AJ208" t="e" cm="1">
        <f t="array" ref="AJ208">[1]!propssi("S","Q",1,"T",AK208,$AI$1)/1000</f>
        <v>#VALUE!</v>
      </c>
      <c r="AK208">
        <v>478</v>
      </c>
    </row>
    <row r="209" spans="25:37" x14ac:dyDescent="0.3">
      <c r="Y209">
        <v>479</v>
      </c>
      <c r="Z209" t="e" cm="1">
        <f t="array" ref="Z209">[1]!propssi("S","Q",0,"T",AB209,$Z$1)/1000</f>
        <v>#VALUE!</v>
      </c>
      <c r="AA209" t="e" cm="1">
        <f t="array" ref="AA209">[1]!propssi("S","Q",1,"T",AB209,$Z$1)/1000</f>
        <v>#VALUE!</v>
      </c>
      <c r="AB209">
        <v>479</v>
      </c>
      <c r="AC209" t="e" cm="1">
        <f t="array" ref="AC209">[1]!propssi("S","Q",0,"T",AE209,$AC$1)/1000</f>
        <v>#VALUE!</v>
      </c>
      <c r="AD209" t="e" cm="1">
        <f t="array" ref="AD209">[1]!propssi("S","Q",1,"T",AE209,$AC$1)/1000</f>
        <v>#VALUE!</v>
      </c>
      <c r="AE209">
        <v>479</v>
      </c>
      <c r="AF209" t="e" cm="1">
        <f t="array" ref="AF209">[1]!propssi("S","Q",0,"T",AH209,$AF$1)/1000</f>
        <v>#VALUE!</v>
      </c>
      <c r="AG209" t="e" cm="1">
        <f t="array" ref="AG209">[1]!propssi("S","Q",1,"T",AH209,$AF$1)/1000</f>
        <v>#VALUE!</v>
      </c>
      <c r="AH209">
        <v>479</v>
      </c>
      <c r="AI209" t="e" cm="1">
        <f t="array" ref="AI209">[1]!propssi("S","Q",0,"T",AK209,$AI$1)/1000</f>
        <v>#VALUE!</v>
      </c>
      <c r="AJ209" t="e" cm="1">
        <f t="array" ref="AJ209">[1]!propssi("S","Q",1,"T",AK209,$AI$1)/1000</f>
        <v>#VALUE!</v>
      </c>
      <c r="AK209">
        <v>479</v>
      </c>
    </row>
    <row r="210" spans="25:37" x14ac:dyDescent="0.3">
      <c r="Y210">
        <v>480</v>
      </c>
      <c r="Z210" t="e" cm="1">
        <f t="array" ref="Z210">[1]!propssi("S","Q",0,"T",AB210,$Z$1)/1000</f>
        <v>#VALUE!</v>
      </c>
      <c r="AA210" t="e" cm="1">
        <f t="array" ref="AA210">[1]!propssi("S","Q",1,"T",AB210,$Z$1)/1000</f>
        <v>#VALUE!</v>
      </c>
      <c r="AB210">
        <v>480</v>
      </c>
      <c r="AC210" t="e" cm="1">
        <f t="array" ref="AC210">[1]!propssi("S","Q",0,"T",AE210,$AC$1)/1000</f>
        <v>#VALUE!</v>
      </c>
      <c r="AD210" t="e" cm="1">
        <f t="array" ref="AD210">[1]!propssi("S","Q",1,"T",AE210,$AC$1)/1000</f>
        <v>#VALUE!</v>
      </c>
      <c r="AE210">
        <v>480</v>
      </c>
      <c r="AF210" t="e" cm="1">
        <f t="array" ref="AF210">[1]!propssi("S","Q",0,"T",AH210,$AF$1)/1000</f>
        <v>#VALUE!</v>
      </c>
      <c r="AG210" t="e" cm="1">
        <f t="array" ref="AG210">[1]!propssi("S","Q",1,"T",AH210,$AF$1)/1000</f>
        <v>#VALUE!</v>
      </c>
      <c r="AH210">
        <v>480</v>
      </c>
      <c r="AI210" t="e" cm="1">
        <f t="array" ref="AI210">[1]!propssi("S","Q",0,"T",AK210,$AI$1)/1000</f>
        <v>#VALUE!</v>
      </c>
      <c r="AJ210" t="e" cm="1">
        <f t="array" ref="AJ210">[1]!propssi("S","Q",1,"T",AK210,$AI$1)/1000</f>
        <v>#VALUE!</v>
      </c>
      <c r="AK210">
        <v>480</v>
      </c>
    </row>
    <row r="211" spans="25:37" x14ac:dyDescent="0.3">
      <c r="Y211">
        <v>481</v>
      </c>
      <c r="Z211" t="e" cm="1">
        <f t="array" ref="Z211">[1]!propssi("S","Q",0,"T",AB211,$Z$1)/1000</f>
        <v>#VALUE!</v>
      </c>
      <c r="AA211" t="e" cm="1">
        <f t="array" ref="AA211">[1]!propssi("S","Q",1,"T",AB211,$Z$1)/1000</f>
        <v>#VALUE!</v>
      </c>
      <c r="AB211">
        <v>481</v>
      </c>
      <c r="AC211" t="e" cm="1">
        <f t="array" ref="AC211">[1]!propssi("S","Q",0,"T",AE211,$AC$1)/1000</f>
        <v>#VALUE!</v>
      </c>
      <c r="AD211" t="e" cm="1">
        <f t="array" ref="AD211">[1]!propssi("S","Q",1,"T",AE211,$AC$1)/1000</f>
        <v>#VALUE!</v>
      </c>
      <c r="AE211">
        <v>481</v>
      </c>
      <c r="AF211" t="e" cm="1">
        <f t="array" ref="AF211">[1]!propssi("S","Q",0,"T",AH211,$AF$1)/1000</f>
        <v>#VALUE!</v>
      </c>
      <c r="AG211" t="e" cm="1">
        <f t="array" ref="AG211">[1]!propssi("S","Q",1,"T",AH211,$AF$1)/1000</f>
        <v>#VALUE!</v>
      </c>
      <c r="AH211">
        <v>481</v>
      </c>
      <c r="AI211" t="e" cm="1">
        <f t="array" ref="AI211">[1]!propssi("S","Q",0,"T",AK211,$AI$1)/1000</f>
        <v>#VALUE!</v>
      </c>
      <c r="AJ211" t="e" cm="1">
        <f t="array" ref="AJ211">[1]!propssi("S","Q",1,"T",AK211,$AI$1)/1000</f>
        <v>#VALUE!</v>
      </c>
      <c r="AK211">
        <v>481</v>
      </c>
    </row>
    <row r="212" spans="25:37" x14ac:dyDescent="0.3">
      <c r="Y212">
        <v>482</v>
      </c>
      <c r="Z212" t="e" cm="1">
        <f t="array" ref="Z212">[1]!propssi("S","Q",0,"T",AB212,$Z$1)/1000</f>
        <v>#VALUE!</v>
      </c>
      <c r="AA212" t="e" cm="1">
        <f t="array" ref="AA212">[1]!propssi("S","Q",1,"T",AB212,$Z$1)/1000</f>
        <v>#VALUE!</v>
      </c>
      <c r="AB212">
        <v>482</v>
      </c>
      <c r="AC212" t="e" cm="1">
        <f t="array" ref="AC212">[1]!propssi("S","Q",0,"T",AE212,$AC$1)/1000</f>
        <v>#VALUE!</v>
      </c>
      <c r="AD212" t="e" cm="1">
        <f t="array" ref="AD212">[1]!propssi("S","Q",1,"T",AE212,$AC$1)/1000</f>
        <v>#VALUE!</v>
      </c>
      <c r="AE212">
        <v>482</v>
      </c>
      <c r="AF212" t="e" cm="1">
        <f t="array" ref="AF212">[1]!propssi("S","Q",0,"T",AH212,$AF$1)/1000</f>
        <v>#VALUE!</v>
      </c>
      <c r="AG212" t="e" cm="1">
        <f t="array" ref="AG212">[1]!propssi("S","Q",1,"T",AH212,$AF$1)/1000</f>
        <v>#VALUE!</v>
      </c>
      <c r="AH212">
        <v>482</v>
      </c>
      <c r="AI212" t="e" cm="1">
        <f t="array" ref="AI212">[1]!propssi("S","Q",0,"T",AK212,$AI$1)/1000</f>
        <v>#VALUE!</v>
      </c>
      <c r="AJ212" t="e" cm="1">
        <f t="array" ref="AJ212">[1]!propssi("S","Q",1,"T",AK212,$AI$1)/1000</f>
        <v>#VALUE!</v>
      </c>
      <c r="AK212">
        <v>482</v>
      </c>
    </row>
    <row r="213" spans="25:37" x14ac:dyDescent="0.3">
      <c r="Y213">
        <v>483</v>
      </c>
      <c r="Z213" t="e" cm="1">
        <f t="array" ref="Z213">[1]!propssi("S","Q",0,"T",AB213,$Z$1)/1000</f>
        <v>#VALUE!</v>
      </c>
      <c r="AA213" t="e" cm="1">
        <f t="array" ref="AA213">[1]!propssi("S","Q",1,"T",AB213,$Z$1)/1000</f>
        <v>#VALUE!</v>
      </c>
      <c r="AB213">
        <v>483</v>
      </c>
      <c r="AC213" t="e" cm="1">
        <f t="array" ref="AC213">[1]!propssi("S","Q",0,"T",AE213,$AC$1)/1000</f>
        <v>#VALUE!</v>
      </c>
      <c r="AD213" t="e" cm="1">
        <f t="array" ref="AD213">[1]!propssi("S","Q",1,"T",AE213,$AC$1)/1000</f>
        <v>#VALUE!</v>
      </c>
      <c r="AE213">
        <v>483</v>
      </c>
      <c r="AF213" t="e" cm="1">
        <f t="array" ref="AF213">[1]!propssi("S","Q",0,"T",AH213,$AF$1)/1000</f>
        <v>#VALUE!</v>
      </c>
      <c r="AG213" t="e" cm="1">
        <f t="array" ref="AG213">[1]!propssi("S","Q",1,"T",AH213,$AF$1)/1000</f>
        <v>#VALUE!</v>
      </c>
      <c r="AH213">
        <v>483</v>
      </c>
      <c r="AI213" t="e" cm="1">
        <f t="array" ref="AI213">[1]!propssi("S","Q",0,"T",AK213,$AI$1)/1000</f>
        <v>#VALUE!</v>
      </c>
      <c r="AJ213" t="e" cm="1">
        <f t="array" ref="AJ213">[1]!propssi("S","Q",1,"T",AK213,$AI$1)/1000</f>
        <v>#VALUE!</v>
      </c>
      <c r="AK213">
        <v>483</v>
      </c>
    </row>
    <row r="214" spans="25:37" x14ac:dyDescent="0.3">
      <c r="Y214">
        <v>484</v>
      </c>
      <c r="Z214" t="e" cm="1">
        <f t="array" ref="Z214">[1]!propssi("S","Q",0,"T",AB214,$Z$1)/1000</f>
        <v>#VALUE!</v>
      </c>
      <c r="AA214" t="e" cm="1">
        <f t="array" ref="AA214">[1]!propssi("S","Q",1,"T",AB214,$Z$1)/1000</f>
        <v>#VALUE!</v>
      </c>
      <c r="AB214">
        <v>484</v>
      </c>
      <c r="AC214" t="e" cm="1">
        <f t="array" ref="AC214">[1]!propssi("S","Q",0,"T",AE214,$AC$1)/1000</f>
        <v>#VALUE!</v>
      </c>
      <c r="AD214" t="e" cm="1">
        <f t="array" ref="AD214">[1]!propssi("S","Q",1,"T",AE214,$AC$1)/1000</f>
        <v>#VALUE!</v>
      </c>
      <c r="AE214">
        <v>484</v>
      </c>
      <c r="AF214" t="e" cm="1">
        <f t="array" ref="AF214">[1]!propssi("S","Q",0,"T",AH214,$AF$1)/1000</f>
        <v>#VALUE!</v>
      </c>
      <c r="AG214" t="e" cm="1">
        <f t="array" ref="AG214">[1]!propssi("S","Q",1,"T",AH214,$AF$1)/1000</f>
        <v>#VALUE!</v>
      </c>
      <c r="AH214">
        <v>484</v>
      </c>
      <c r="AI214" t="e" cm="1">
        <f t="array" ref="AI214">[1]!propssi("S","Q",0,"T",AK214,$AI$1)/1000</f>
        <v>#VALUE!</v>
      </c>
      <c r="AJ214" t="e" cm="1">
        <f t="array" ref="AJ214">[1]!propssi("S","Q",1,"T",AK214,$AI$1)/1000</f>
        <v>#VALUE!</v>
      </c>
      <c r="AK214">
        <v>484</v>
      </c>
    </row>
    <row r="215" spans="25:37" x14ac:dyDescent="0.3">
      <c r="Y215">
        <v>485</v>
      </c>
      <c r="Z215" t="e" cm="1">
        <f t="array" ref="Z215">[1]!propssi("S","Q",0,"T",AB215,$Z$1)/1000</f>
        <v>#VALUE!</v>
      </c>
      <c r="AA215" t="e" cm="1">
        <f t="array" ref="AA215">[1]!propssi("S","Q",1,"T",AB215,$Z$1)/1000</f>
        <v>#VALUE!</v>
      </c>
      <c r="AB215">
        <v>485</v>
      </c>
      <c r="AC215" t="e" cm="1">
        <f t="array" ref="AC215">[1]!propssi("S","Q",0,"T",AE215,$AC$1)/1000</f>
        <v>#VALUE!</v>
      </c>
      <c r="AD215" t="e" cm="1">
        <f t="array" ref="AD215">[1]!propssi("S","Q",1,"T",AE215,$AC$1)/1000</f>
        <v>#VALUE!</v>
      </c>
      <c r="AE215">
        <v>485</v>
      </c>
      <c r="AF215" t="e" cm="1">
        <f t="array" ref="AF215">[1]!propssi("S","Q",0,"T",AH215,$AF$1)/1000</f>
        <v>#VALUE!</v>
      </c>
      <c r="AG215" t="e" cm="1">
        <f t="array" ref="AG215">[1]!propssi("S","Q",1,"T",AH215,$AF$1)/1000</f>
        <v>#VALUE!</v>
      </c>
      <c r="AH215">
        <v>485</v>
      </c>
      <c r="AI215" t="e" cm="1">
        <f t="array" ref="AI215">[1]!propssi("S","Q",0,"T",AK215,$AI$1)/1000</f>
        <v>#VALUE!</v>
      </c>
      <c r="AJ215" t="e" cm="1">
        <f t="array" ref="AJ215">[1]!propssi("S","Q",1,"T",AK215,$AI$1)/1000</f>
        <v>#VALUE!</v>
      </c>
      <c r="AK215">
        <v>485</v>
      </c>
    </row>
    <row r="216" spans="25:37" x14ac:dyDescent="0.3">
      <c r="Y216">
        <v>486</v>
      </c>
      <c r="Z216" t="e" cm="1">
        <f t="array" ref="Z216">[1]!propssi("S","Q",0,"T",AB216,$Z$1)/1000</f>
        <v>#VALUE!</v>
      </c>
      <c r="AA216" t="e" cm="1">
        <f t="array" ref="AA216">[1]!propssi("S","Q",1,"T",AB216,$Z$1)/1000</f>
        <v>#VALUE!</v>
      </c>
      <c r="AB216">
        <v>486</v>
      </c>
      <c r="AC216" t="e" cm="1">
        <f t="array" ref="AC216">[1]!propssi("S","Q",0,"T",AE216,$AC$1)/1000</f>
        <v>#VALUE!</v>
      </c>
      <c r="AD216" t="e" cm="1">
        <f t="array" ref="AD216">[1]!propssi("S","Q",1,"T",AE216,$AC$1)/1000</f>
        <v>#VALUE!</v>
      </c>
      <c r="AE216">
        <v>486</v>
      </c>
      <c r="AF216" t="e" cm="1">
        <f t="array" ref="AF216">[1]!propssi("S","Q",0,"T",AH216,$AF$1)/1000</f>
        <v>#VALUE!</v>
      </c>
      <c r="AG216" t="e" cm="1">
        <f t="array" ref="AG216">[1]!propssi("S","Q",1,"T",AH216,$AF$1)/1000</f>
        <v>#VALUE!</v>
      </c>
      <c r="AH216">
        <v>486</v>
      </c>
      <c r="AI216" t="e" cm="1">
        <f t="array" ref="AI216">[1]!propssi("S","Q",0,"T",AK216,$AI$1)/1000</f>
        <v>#VALUE!</v>
      </c>
      <c r="AJ216" t="e" cm="1">
        <f t="array" ref="AJ216">[1]!propssi("S","Q",1,"T",AK216,$AI$1)/1000</f>
        <v>#VALUE!</v>
      </c>
      <c r="AK216">
        <v>486</v>
      </c>
    </row>
    <row r="217" spans="25:37" x14ac:dyDescent="0.3">
      <c r="Y217">
        <v>487</v>
      </c>
      <c r="Z217" t="e" cm="1">
        <f t="array" ref="Z217">[1]!propssi("S","Q",0,"T",AB217,$Z$1)/1000</f>
        <v>#VALUE!</v>
      </c>
      <c r="AA217" t="e" cm="1">
        <f t="array" ref="AA217">[1]!propssi("S","Q",1,"T",AB217,$Z$1)/1000</f>
        <v>#VALUE!</v>
      </c>
      <c r="AB217">
        <v>487</v>
      </c>
      <c r="AC217" t="e" cm="1">
        <f t="array" ref="AC217">[1]!propssi("S","Q",0,"T",AE217,$AC$1)/1000</f>
        <v>#VALUE!</v>
      </c>
      <c r="AD217" t="e" cm="1">
        <f t="array" ref="AD217">[1]!propssi("S","Q",1,"T",AE217,$AC$1)/1000</f>
        <v>#VALUE!</v>
      </c>
      <c r="AE217">
        <v>487</v>
      </c>
      <c r="AF217" t="e" cm="1">
        <f t="array" ref="AF217">[1]!propssi("S","Q",0,"T",AH217,$AF$1)/1000</f>
        <v>#VALUE!</v>
      </c>
      <c r="AG217" t="e" cm="1">
        <f t="array" ref="AG217">[1]!propssi("S","Q",1,"T",AH217,$AF$1)/1000</f>
        <v>#VALUE!</v>
      </c>
      <c r="AH217">
        <v>487</v>
      </c>
      <c r="AI217" t="e" cm="1">
        <f t="array" ref="AI217">[1]!propssi("S","Q",0,"T",AK217,$AI$1)/1000</f>
        <v>#VALUE!</v>
      </c>
      <c r="AJ217" t="e" cm="1">
        <f t="array" ref="AJ217">[1]!propssi("S","Q",1,"T",AK217,$AI$1)/1000</f>
        <v>#VALUE!</v>
      </c>
      <c r="AK217">
        <v>487</v>
      </c>
    </row>
    <row r="218" spans="25:37" x14ac:dyDescent="0.3">
      <c r="Y218">
        <v>488</v>
      </c>
      <c r="Z218" t="e" cm="1">
        <f t="array" ref="Z218">[1]!propssi("S","Q",0,"T",AB218,$Z$1)/1000</f>
        <v>#VALUE!</v>
      </c>
      <c r="AA218" t="e" cm="1">
        <f t="array" ref="AA218">[1]!propssi("S","Q",1,"T",AB218,$Z$1)/1000</f>
        <v>#VALUE!</v>
      </c>
      <c r="AB218">
        <v>488</v>
      </c>
      <c r="AC218" t="e" cm="1">
        <f t="array" ref="AC218">[1]!propssi("S","Q",0,"T",AE218,$AC$1)/1000</f>
        <v>#VALUE!</v>
      </c>
      <c r="AD218" t="e" cm="1">
        <f t="array" ref="AD218">[1]!propssi("S","Q",1,"T",AE218,$AC$1)/1000</f>
        <v>#VALUE!</v>
      </c>
      <c r="AE218">
        <v>488</v>
      </c>
      <c r="AF218" t="e" cm="1">
        <f t="array" ref="AF218">[1]!propssi("S","Q",0,"T",AH218,$AF$1)/1000</f>
        <v>#VALUE!</v>
      </c>
      <c r="AG218" t="e" cm="1">
        <f t="array" ref="AG218">[1]!propssi("S","Q",1,"T",AH218,$AF$1)/1000</f>
        <v>#VALUE!</v>
      </c>
      <c r="AH218">
        <v>488</v>
      </c>
      <c r="AI218" t="e" cm="1">
        <f t="array" ref="AI218">[1]!propssi("S","Q",0,"T",AK218,$AI$1)/1000</f>
        <v>#VALUE!</v>
      </c>
      <c r="AJ218" t="e" cm="1">
        <f t="array" ref="AJ218">[1]!propssi("S","Q",1,"T",AK218,$AI$1)/1000</f>
        <v>#VALUE!</v>
      </c>
      <c r="AK218">
        <v>488</v>
      </c>
    </row>
    <row r="219" spans="25:37" x14ac:dyDescent="0.3">
      <c r="Y219">
        <v>489</v>
      </c>
      <c r="Z219" t="e" cm="1">
        <f t="array" ref="Z219">[1]!propssi("S","Q",0,"T",AB219,$Z$1)/1000</f>
        <v>#VALUE!</v>
      </c>
      <c r="AA219" t="e" cm="1">
        <f t="array" ref="AA219">[1]!propssi("S","Q",1,"T",AB219,$Z$1)/1000</f>
        <v>#VALUE!</v>
      </c>
      <c r="AB219">
        <v>489</v>
      </c>
      <c r="AC219" t="e" cm="1">
        <f t="array" ref="AC219">[1]!propssi("S","Q",0,"T",AE219,$AC$1)/1000</f>
        <v>#VALUE!</v>
      </c>
      <c r="AD219" t="e" cm="1">
        <f t="array" ref="AD219">[1]!propssi("S","Q",1,"T",AE219,$AC$1)/1000</f>
        <v>#VALUE!</v>
      </c>
      <c r="AE219">
        <v>489</v>
      </c>
      <c r="AF219" t="e" cm="1">
        <f t="array" ref="AF219">[1]!propssi("S","Q",0,"T",AH219,$AF$1)/1000</f>
        <v>#VALUE!</v>
      </c>
      <c r="AG219" t="e" cm="1">
        <f t="array" ref="AG219">[1]!propssi("S","Q",1,"T",AH219,$AF$1)/1000</f>
        <v>#VALUE!</v>
      </c>
      <c r="AH219">
        <v>489</v>
      </c>
      <c r="AI219" t="e" cm="1">
        <f t="array" ref="AI219">[1]!propssi("S","Q",0,"T",AK219,$AI$1)/1000</f>
        <v>#VALUE!</v>
      </c>
      <c r="AJ219" t="e" cm="1">
        <f t="array" ref="AJ219">[1]!propssi("S","Q",1,"T",AK219,$AI$1)/1000</f>
        <v>#VALUE!</v>
      </c>
      <c r="AK219">
        <v>489</v>
      </c>
    </row>
    <row r="220" spans="25:37" x14ac:dyDescent="0.3">
      <c r="Y220">
        <v>490</v>
      </c>
      <c r="Z220" t="e" cm="1">
        <f t="array" ref="Z220">[1]!propssi("S","Q",0,"T",AB220,$Z$1)/1000</f>
        <v>#VALUE!</v>
      </c>
      <c r="AA220" t="e" cm="1">
        <f t="array" ref="AA220">[1]!propssi("S","Q",1,"T",AB220,$Z$1)/1000</f>
        <v>#VALUE!</v>
      </c>
      <c r="AB220">
        <v>490</v>
      </c>
      <c r="AC220" t="e" cm="1">
        <f t="array" ref="AC220">[1]!propssi("S","Q",0,"T",AE220,$AC$1)/1000</f>
        <v>#VALUE!</v>
      </c>
      <c r="AD220" t="e" cm="1">
        <f t="array" ref="AD220">[1]!propssi("S","Q",1,"T",AE220,$AC$1)/1000</f>
        <v>#VALUE!</v>
      </c>
      <c r="AE220">
        <v>490</v>
      </c>
      <c r="AF220" t="e" cm="1">
        <f t="array" ref="AF220">[1]!propssi("S","Q",0,"T",AH220,$AF$1)/1000</f>
        <v>#VALUE!</v>
      </c>
      <c r="AG220" t="e" cm="1">
        <f t="array" ref="AG220">[1]!propssi("S","Q",1,"T",AH220,$AF$1)/1000</f>
        <v>#VALUE!</v>
      </c>
      <c r="AH220">
        <v>490</v>
      </c>
      <c r="AI220" t="e" cm="1">
        <f t="array" ref="AI220">[1]!propssi("S","Q",0,"T",AK220,$AI$1)/1000</f>
        <v>#VALUE!</v>
      </c>
      <c r="AJ220" t="e" cm="1">
        <f t="array" ref="AJ220">[1]!propssi("S","Q",1,"T",AK220,$AI$1)/1000</f>
        <v>#VALUE!</v>
      </c>
      <c r="AK220">
        <v>490</v>
      </c>
    </row>
    <row r="221" spans="25:37" x14ac:dyDescent="0.3">
      <c r="Y221">
        <v>491</v>
      </c>
      <c r="Z221" t="e" cm="1">
        <f t="array" ref="Z221">[1]!propssi("S","Q",0,"T",AB221,$Z$1)/1000</f>
        <v>#VALUE!</v>
      </c>
      <c r="AA221" t="e" cm="1">
        <f t="array" ref="AA221">[1]!propssi("S","Q",1,"T",AB221,$Z$1)/1000</f>
        <v>#VALUE!</v>
      </c>
      <c r="AB221">
        <v>491</v>
      </c>
      <c r="AC221" t="e" cm="1">
        <f t="array" ref="AC221">[1]!propssi("S","Q",0,"T",AE221,$AC$1)/1000</f>
        <v>#VALUE!</v>
      </c>
      <c r="AD221" t="e" cm="1">
        <f t="array" ref="AD221">[1]!propssi("S","Q",1,"T",AE221,$AC$1)/1000</f>
        <v>#VALUE!</v>
      </c>
      <c r="AE221">
        <v>491</v>
      </c>
      <c r="AF221" t="e" cm="1">
        <f t="array" ref="AF221">[1]!propssi("S","Q",0,"T",AH221,$AF$1)/1000</f>
        <v>#VALUE!</v>
      </c>
      <c r="AG221" t="e" cm="1">
        <f t="array" ref="AG221">[1]!propssi("S","Q",1,"T",AH221,$AF$1)/1000</f>
        <v>#VALUE!</v>
      </c>
      <c r="AH221">
        <v>491</v>
      </c>
      <c r="AI221" t="e" cm="1">
        <f t="array" ref="AI221">[1]!propssi("S","Q",0,"T",AK221,$AI$1)/1000</f>
        <v>#VALUE!</v>
      </c>
      <c r="AJ221" t="e" cm="1">
        <f t="array" ref="AJ221">[1]!propssi("S","Q",1,"T",AK221,$AI$1)/1000</f>
        <v>#VALUE!</v>
      </c>
      <c r="AK221">
        <v>491</v>
      </c>
    </row>
    <row r="222" spans="25:37" x14ac:dyDescent="0.3">
      <c r="Y222">
        <v>492</v>
      </c>
      <c r="Z222" t="e" cm="1">
        <f t="array" ref="Z222">[1]!propssi("S","Q",0,"T",AB222,$Z$1)/1000</f>
        <v>#VALUE!</v>
      </c>
      <c r="AA222" t="e" cm="1">
        <f t="array" ref="AA222">[1]!propssi("S","Q",1,"T",AB222,$Z$1)/1000</f>
        <v>#VALUE!</v>
      </c>
      <c r="AB222">
        <v>492</v>
      </c>
      <c r="AC222" t="e" cm="1">
        <f t="array" ref="AC222">[1]!propssi("S","Q",0,"T",AE222,$AC$1)/1000</f>
        <v>#VALUE!</v>
      </c>
      <c r="AD222" t="e" cm="1">
        <f t="array" ref="AD222">[1]!propssi("S","Q",1,"T",AE222,$AC$1)/1000</f>
        <v>#VALUE!</v>
      </c>
      <c r="AE222">
        <v>492</v>
      </c>
      <c r="AF222" t="e" cm="1">
        <f t="array" ref="AF222">[1]!propssi("S","Q",0,"T",AH222,$AF$1)/1000</f>
        <v>#VALUE!</v>
      </c>
      <c r="AG222" t="e" cm="1">
        <f t="array" ref="AG222">[1]!propssi("S","Q",1,"T",AH222,$AF$1)/1000</f>
        <v>#VALUE!</v>
      </c>
      <c r="AH222">
        <v>492</v>
      </c>
      <c r="AI222" t="e" cm="1">
        <f t="array" ref="AI222">[1]!propssi("S","Q",0,"T",AK222,$AI$1)/1000</f>
        <v>#VALUE!</v>
      </c>
      <c r="AJ222" t="e" cm="1">
        <f t="array" ref="AJ222">[1]!propssi("S","Q",1,"T",AK222,$AI$1)/1000</f>
        <v>#VALUE!</v>
      </c>
      <c r="AK222">
        <v>492</v>
      </c>
    </row>
    <row r="223" spans="25:37" x14ac:dyDescent="0.3">
      <c r="Y223">
        <v>493</v>
      </c>
      <c r="Z223" t="e" cm="1">
        <f t="array" ref="Z223">[1]!propssi("S","Q",0,"T",AB223,$Z$1)/1000</f>
        <v>#VALUE!</v>
      </c>
      <c r="AA223" t="e" cm="1">
        <f t="array" ref="AA223">[1]!propssi("S","Q",1,"T",AB223,$Z$1)/1000</f>
        <v>#VALUE!</v>
      </c>
      <c r="AB223">
        <v>493</v>
      </c>
      <c r="AC223" t="e" cm="1">
        <f t="array" ref="AC223">[1]!propssi("S","Q",0,"T",AE223,$AC$1)/1000</f>
        <v>#VALUE!</v>
      </c>
      <c r="AD223" t="e" cm="1">
        <f t="array" ref="AD223">[1]!propssi("S","Q",1,"T",AE223,$AC$1)/1000</f>
        <v>#VALUE!</v>
      </c>
      <c r="AE223">
        <v>493</v>
      </c>
      <c r="AF223" t="e" cm="1">
        <f t="array" ref="AF223">[1]!propssi("S","Q",0,"T",AH223,$AF$1)/1000</f>
        <v>#VALUE!</v>
      </c>
      <c r="AG223" t="e" cm="1">
        <f t="array" ref="AG223">[1]!propssi("S","Q",1,"T",AH223,$AF$1)/1000</f>
        <v>#VALUE!</v>
      </c>
      <c r="AH223">
        <v>493</v>
      </c>
      <c r="AI223" t="e" cm="1">
        <f t="array" ref="AI223">[1]!propssi("S","Q",0,"T",AK223,$AI$1)/1000</f>
        <v>#VALUE!</v>
      </c>
      <c r="AJ223" t="e" cm="1">
        <f t="array" ref="AJ223">[1]!propssi("S","Q",1,"T",AK223,$AI$1)/1000</f>
        <v>#VALUE!</v>
      </c>
      <c r="AK223">
        <v>493</v>
      </c>
    </row>
    <row r="224" spans="25:37" x14ac:dyDescent="0.3">
      <c r="Y224">
        <v>494</v>
      </c>
      <c r="Z224" t="e" cm="1">
        <f t="array" ref="Z224">[1]!propssi("S","Q",0,"T",AB224,$Z$1)/1000</f>
        <v>#VALUE!</v>
      </c>
      <c r="AA224" t="e" cm="1">
        <f t="array" ref="AA224">[1]!propssi("S","Q",1,"T",AB224,$Z$1)/1000</f>
        <v>#VALUE!</v>
      </c>
      <c r="AB224">
        <v>494</v>
      </c>
      <c r="AC224" t="e" cm="1">
        <f t="array" ref="AC224">[1]!propssi("S","Q",0,"T",AE224,$AC$1)/1000</f>
        <v>#VALUE!</v>
      </c>
      <c r="AD224" t="e" cm="1">
        <f t="array" ref="AD224">[1]!propssi("S","Q",1,"T",AE224,$AC$1)/1000</f>
        <v>#VALUE!</v>
      </c>
      <c r="AE224">
        <v>494</v>
      </c>
      <c r="AF224" t="e" cm="1">
        <f t="array" ref="AF224">[1]!propssi("S","Q",0,"T",AH224,$AF$1)/1000</f>
        <v>#VALUE!</v>
      </c>
      <c r="AG224" t="e" cm="1">
        <f t="array" ref="AG224">[1]!propssi("S","Q",1,"T",AH224,$AF$1)/1000</f>
        <v>#VALUE!</v>
      </c>
      <c r="AH224">
        <v>494</v>
      </c>
      <c r="AI224" t="e" cm="1">
        <f t="array" ref="AI224">[1]!propssi("S","Q",0,"T",AK224,$AI$1)/1000</f>
        <v>#VALUE!</v>
      </c>
      <c r="AJ224" t="e" cm="1">
        <f t="array" ref="AJ224">[1]!propssi("S","Q",1,"T",AK224,$AI$1)/1000</f>
        <v>#VALUE!</v>
      </c>
      <c r="AK224">
        <v>494</v>
      </c>
    </row>
    <row r="225" spans="25:37" x14ac:dyDescent="0.3">
      <c r="Y225">
        <v>495</v>
      </c>
      <c r="Z225" t="e" cm="1">
        <f t="array" ref="Z225">[1]!propssi("S","Q",0,"T",AB225,$Z$1)/1000</f>
        <v>#VALUE!</v>
      </c>
      <c r="AA225" t="e" cm="1">
        <f t="array" ref="AA225">[1]!propssi("S","Q",1,"T",AB225,$Z$1)/1000</f>
        <v>#VALUE!</v>
      </c>
      <c r="AB225">
        <v>495</v>
      </c>
      <c r="AC225" t="e" cm="1">
        <f t="array" ref="AC225">[1]!propssi("S","Q",0,"T",AE225,$AC$1)/1000</f>
        <v>#VALUE!</v>
      </c>
      <c r="AD225" t="e" cm="1">
        <f t="array" ref="AD225">[1]!propssi("S","Q",1,"T",AE225,$AC$1)/1000</f>
        <v>#VALUE!</v>
      </c>
      <c r="AE225">
        <v>495</v>
      </c>
      <c r="AF225" t="e" cm="1">
        <f t="array" ref="AF225">[1]!propssi("S","Q",0,"T",AH225,$AF$1)/1000</f>
        <v>#VALUE!</v>
      </c>
      <c r="AG225" t="e" cm="1">
        <f t="array" ref="AG225">[1]!propssi("S","Q",1,"T",AH225,$AF$1)/1000</f>
        <v>#VALUE!</v>
      </c>
      <c r="AH225">
        <v>495</v>
      </c>
      <c r="AI225" t="e" cm="1">
        <f t="array" ref="AI225">[1]!propssi("S","Q",0,"T",AK225,$AI$1)/1000</f>
        <v>#VALUE!</v>
      </c>
      <c r="AJ225" t="e" cm="1">
        <f t="array" ref="AJ225">[1]!propssi("S","Q",1,"T",AK225,$AI$1)/1000</f>
        <v>#VALUE!</v>
      </c>
      <c r="AK225">
        <v>495</v>
      </c>
    </row>
    <row r="226" spans="25:37" x14ac:dyDescent="0.3">
      <c r="Y226">
        <v>496</v>
      </c>
      <c r="Z226" t="e" cm="1">
        <f t="array" ref="Z226">[1]!propssi("S","Q",0,"T",AB226,$Z$1)/1000</f>
        <v>#VALUE!</v>
      </c>
      <c r="AA226" t="e" cm="1">
        <f t="array" ref="AA226">[1]!propssi("S","Q",1,"T",AB226,$Z$1)/1000</f>
        <v>#VALUE!</v>
      </c>
      <c r="AB226">
        <v>496</v>
      </c>
      <c r="AC226" t="e" cm="1">
        <f t="array" ref="AC226">[1]!propssi("S","Q",0,"T",AE226,$AC$1)/1000</f>
        <v>#VALUE!</v>
      </c>
      <c r="AD226" t="e" cm="1">
        <f t="array" ref="AD226">[1]!propssi("S","Q",1,"T",AE226,$AC$1)/1000</f>
        <v>#VALUE!</v>
      </c>
      <c r="AE226">
        <v>496</v>
      </c>
      <c r="AF226" t="e" cm="1">
        <f t="array" ref="AF226">[1]!propssi("S","Q",0,"T",AH226,$AF$1)/1000</f>
        <v>#VALUE!</v>
      </c>
      <c r="AG226" t="e" cm="1">
        <f t="array" ref="AG226">[1]!propssi("S","Q",1,"T",AH226,$AF$1)/1000</f>
        <v>#VALUE!</v>
      </c>
      <c r="AH226">
        <v>496</v>
      </c>
      <c r="AI226" t="e" cm="1">
        <f t="array" ref="AI226">[1]!propssi("S","Q",0,"T",AK226,$AI$1)/1000</f>
        <v>#VALUE!</v>
      </c>
      <c r="AJ226" t="e" cm="1">
        <f t="array" ref="AJ226">[1]!propssi("S","Q",1,"T",AK226,$AI$1)/1000</f>
        <v>#VALUE!</v>
      </c>
      <c r="AK226">
        <v>496</v>
      </c>
    </row>
    <row r="227" spans="25:37" x14ac:dyDescent="0.3">
      <c r="Y227">
        <v>497</v>
      </c>
      <c r="Z227" t="e" cm="1">
        <f t="array" ref="Z227">[1]!propssi("S","Q",0,"T",AB227,$Z$1)/1000</f>
        <v>#VALUE!</v>
      </c>
      <c r="AA227" t="e" cm="1">
        <f t="array" ref="AA227">[1]!propssi("S","Q",1,"T",AB227,$Z$1)/1000</f>
        <v>#VALUE!</v>
      </c>
      <c r="AB227">
        <v>497</v>
      </c>
      <c r="AC227" t="e" cm="1">
        <f t="array" ref="AC227">[1]!propssi("S","Q",0,"T",AE227,$AC$1)/1000</f>
        <v>#VALUE!</v>
      </c>
      <c r="AD227" t="e" cm="1">
        <f t="array" ref="AD227">[1]!propssi("S","Q",1,"T",AE227,$AC$1)/1000</f>
        <v>#VALUE!</v>
      </c>
      <c r="AE227">
        <v>497</v>
      </c>
      <c r="AF227" t="e" cm="1">
        <f t="array" ref="AF227">[1]!propssi("S","Q",0,"T",AH227,$AF$1)/1000</f>
        <v>#VALUE!</v>
      </c>
      <c r="AG227" t="e" cm="1">
        <f t="array" ref="AG227">[1]!propssi("S","Q",1,"T",AH227,$AF$1)/1000</f>
        <v>#VALUE!</v>
      </c>
      <c r="AH227">
        <v>497</v>
      </c>
      <c r="AI227" t="e" cm="1">
        <f t="array" ref="AI227">[1]!propssi("S","Q",0,"T",AK227,$AI$1)/1000</f>
        <v>#VALUE!</v>
      </c>
      <c r="AJ227" t="e" cm="1">
        <f t="array" ref="AJ227">[1]!propssi("S","Q",1,"T",AK227,$AI$1)/1000</f>
        <v>#VALUE!</v>
      </c>
      <c r="AK227">
        <v>497</v>
      </c>
    </row>
    <row r="228" spans="25:37" x14ac:dyDescent="0.3">
      <c r="Y228">
        <v>498</v>
      </c>
      <c r="Z228" t="e" cm="1">
        <f t="array" ref="Z228">[1]!propssi("S","Q",0,"T",AB228,$Z$1)/1000</f>
        <v>#VALUE!</v>
      </c>
      <c r="AA228" t="e" cm="1">
        <f t="array" ref="AA228">[1]!propssi("S","Q",1,"T",AB228,$Z$1)/1000</f>
        <v>#VALUE!</v>
      </c>
      <c r="AB228">
        <v>498</v>
      </c>
      <c r="AC228" t="e" cm="1">
        <f t="array" ref="AC228">[1]!propssi("S","Q",0,"T",AE228,$AC$1)/1000</f>
        <v>#VALUE!</v>
      </c>
      <c r="AD228" t="e" cm="1">
        <f t="array" ref="AD228">[1]!propssi("S","Q",1,"T",AE228,$AC$1)/1000</f>
        <v>#VALUE!</v>
      </c>
      <c r="AE228">
        <v>498</v>
      </c>
      <c r="AF228" t="e" cm="1">
        <f t="array" ref="AF228">[1]!propssi("S","Q",0,"T",AH228,$AF$1)/1000</f>
        <v>#VALUE!</v>
      </c>
      <c r="AG228" t="e" cm="1">
        <f t="array" ref="AG228">[1]!propssi("S","Q",1,"T",AH228,$AF$1)/1000</f>
        <v>#VALUE!</v>
      </c>
      <c r="AH228">
        <v>498</v>
      </c>
      <c r="AI228" t="e" cm="1">
        <f t="array" ref="AI228">[1]!propssi("S","Q",0,"T",AK228,$AI$1)/1000</f>
        <v>#VALUE!</v>
      </c>
      <c r="AJ228" t="e" cm="1">
        <f t="array" ref="AJ228">[1]!propssi("S","Q",1,"T",AK228,$AI$1)/1000</f>
        <v>#VALUE!</v>
      </c>
      <c r="AK228">
        <v>498</v>
      </c>
    </row>
    <row r="229" spans="25:37" x14ac:dyDescent="0.3">
      <c r="Y229">
        <v>499</v>
      </c>
      <c r="Z229" t="e" cm="1">
        <f t="array" ref="Z229">[1]!propssi("S","Q",0,"T",AB229,$Z$1)/1000</f>
        <v>#VALUE!</v>
      </c>
      <c r="AA229" t="e" cm="1">
        <f t="array" ref="AA229">[1]!propssi("S","Q",1,"T",AB229,$Z$1)/1000</f>
        <v>#VALUE!</v>
      </c>
      <c r="AB229">
        <v>499</v>
      </c>
      <c r="AC229" t="e" cm="1">
        <f t="array" ref="AC229">[1]!propssi("S","Q",0,"T",AE229,$AC$1)/1000</f>
        <v>#VALUE!</v>
      </c>
      <c r="AD229" t="e" cm="1">
        <f t="array" ref="AD229">[1]!propssi("S","Q",1,"T",AE229,$AC$1)/1000</f>
        <v>#VALUE!</v>
      </c>
      <c r="AE229">
        <v>499</v>
      </c>
      <c r="AF229" t="e" cm="1">
        <f t="array" ref="AF229">[1]!propssi("S","Q",0,"T",AH229,$AF$1)/1000</f>
        <v>#VALUE!</v>
      </c>
      <c r="AG229" t="e" cm="1">
        <f t="array" ref="AG229">[1]!propssi("S","Q",1,"T",AH229,$AF$1)/1000</f>
        <v>#VALUE!</v>
      </c>
      <c r="AH229">
        <v>499</v>
      </c>
      <c r="AI229" t="e" cm="1">
        <f t="array" ref="AI229">[1]!propssi("S","Q",0,"T",AK229,$AI$1)/1000</f>
        <v>#VALUE!</v>
      </c>
      <c r="AJ229" t="e" cm="1">
        <f t="array" ref="AJ229">[1]!propssi("S","Q",1,"T",AK229,$AI$1)/1000</f>
        <v>#VALUE!</v>
      </c>
      <c r="AK229">
        <v>499</v>
      </c>
    </row>
    <row r="230" spans="25:37" x14ac:dyDescent="0.3">
      <c r="Y230">
        <v>500</v>
      </c>
      <c r="Z230" t="e" cm="1">
        <f t="array" ref="Z230">[1]!propssi("S","Q",0,"T",AB230,$Z$1)/1000</f>
        <v>#VALUE!</v>
      </c>
      <c r="AA230" t="e" cm="1">
        <f t="array" ref="AA230">[1]!propssi("S","Q",1,"T",AB230,$Z$1)/1000</f>
        <v>#VALUE!</v>
      </c>
      <c r="AB230">
        <v>500</v>
      </c>
      <c r="AC230" t="e" cm="1">
        <f t="array" ref="AC230">[1]!propssi("S","Q",0,"T",AE230,$AC$1)/1000</f>
        <v>#VALUE!</v>
      </c>
      <c r="AD230" t="e" cm="1">
        <f t="array" ref="AD230">[1]!propssi("S","Q",1,"T",AE230,$AC$1)/1000</f>
        <v>#VALUE!</v>
      </c>
      <c r="AE230">
        <v>500</v>
      </c>
      <c r="AF230" t="e" cm="1">
        <f t="array" ref="AF230">[1]!propssi("S","Q",0,"T",AH230,$AF$1)/1000</f>
        <v>#VALUE!</v>
      </c>
      <c r="AG230" t="e" cm="1">
        <f t="array" ref="AG230">[1]!propssi("S","Q",1,"T",AH230,$AF$1)/1000</f>
        <v>#VALUE!</v>
      </c>
      <c r="AH230">
        <v>500</v>
      </c>
      <c r="AI230" t="e" cm="1">
        <f t="array" ref="AI230">[1]!propssi("S","Q",0,"T",AK230,$AI$1)/1000</f>
        <v>#VALUE!</v>
      </c>
      <c r="AJ230" t="e" cm="1">
        <f t="array" ref="AJ230">[1]!propssi("S","Q",1,"T",AK230,$AI$1)/1000</f>
        <v>#VALUE!</v>
      </c>
      <c r="AK230">
        <v>500</v>
      </c>
    </row>
  </sheetData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4EE45-E76A-4CAE-9C2C-3647BF6F3CAD}">
  <dimension ref="A1:AC230"/>
  <sheetViews>
    <sheetView workbookViewId="0">
      <selection activeCell="G23" sqref="G23"/>
    </sheetView>
  </sheetViews>
  <sheetFormatPr defaultRowHeight="14.4" x14ac:dyDescent="0.3"/>
  <cols>
    <col min="2" max="2" width="8.88671875" customWidth="1"/>
    <col min="5" max="6" width="8.88671875" customWidth="1"/>
  </cols>
  <sheetData>
    <row r="1" spans="1:29" x14ac:dyDescent="0.3">
      <c r="B1" s="1" t="s">
        <v>0</v>
      </c>
      <c r="W1" t="s">
        <v>35</v>
      </c>
      <c r="Z1" t="s">
        <v>46</v>
      </c>
    </row>
    <row r="2" spans="1:29" x14ac:dyDescent="0.3">
      <c r="A2" t="s">
        <v>5</v>
      </c>
      <c r="B2" s="2">
        <v>80</v>
      </c>
      <c r="C2" t="s">
        <v>11</v>
      </c>
      <c r="D2" s="3" t="s">
        <v>4</v>
      </c>
      <c r="E2" s="7">
        <v>0.75</v>
      </c>
      <c r="W2" t="s">
        <v>31</v>
      </c>
      <c r="X2" t="s">
        <v>32</v>
      </c>
      <c r="Y2" t="s">
        <v>30</v>
      </c>
      <c r="Z2" t="s">
        <v>31</v>
      </c>
      <c r="AA2" t="s">
        <v>32</v>
      </c>
      <c r="AB2" t="s">
        <v>30</v>
      </c>
    </row>
    <row r="3" spans="1:29" x14ac:dyDescent="0.3">
      <c r="A3" t="s">
        <v>6</v>
      </c>
      <c r="B3" s="2">
        <v>130</v>
      </c>
      <c r="C3" t="s">
        <v>11</v>
      </c>
      <c r="D3" t="s">
        <v>12</v>
      </c>
      <c r="E3" s="2">
        <v>500</v>
      </c>
      <c r="F3" t="s">
        <v>13</v>
      </c>
      <c r="W3" cm="1">
        <f t="array" ref="W3">[1]!propssi("S","Q",0,"T",Y3,$W$1)/1000</f>
        <v>0.99935383812074075</v>
      </c>
      <c r="X3" cm="1">
        <f t="array" ref="X3">[1]!propssi("S","Q",1,"T",Y3,$W$1)/1000</f>
        <v>1.7454097047617863</v>
      </c>
      <c r="Y3">
        <v>273</v>
      </c>
      <c r="Z3" cm="1">
        <f t="array" ref="Z3">[1]!propssi("S","Q",0,"T",AB3,$Z$1)/1000</f>
        <v>0.99926926582767361</v>
      </c>
      <c r="AA3" cm="1">
        <f t="array" ref="AA3">[1]!propssi("S","Q",1,"T",AB3,$Z$1)/1000</f>
        <v>1.755036854857956</v>
      </c>
      <c r="AB3">
        <v>273</v>
      </c>
      <c r="AC3">
        <f>AB3-273</f>
        <v>0</v>
      </c>
    </row>
    <row r="4" spans="1:29" x14ac:dyDescent="0.3">
      <c r="A4" t="s">
        <v>7</v>
      </c>
      <c r="B4" s="2">
        <v>5</v>
      </c>
      <c r="C4" t="s">
        <v>1</v>
      </c>
      <c r="W4" cm="1">
        <f t="array" ref="W4">[1]!propssi("S","Q",0,"T",Y4,$W$1)/1000</f>
        <v>1.0036571124029343</v>
      </c>
      <c r="X4" cm="1">
        <f t="array" ref="X4">[1]!propssi("S","Q",1,"T",Y4,$W$1)/1000</f>
        <v>1.7452439723278919</v>
      </c>
      <c r="Y4">
        <v>274</v>
      </c>
      <c r="Z4" cm="1">
        <f t="array" ref="Z4">[1]!propssi("S","Q",0,"T",AB4,$Z$1)/1000</f>
        <v>1.0041359172048705</v>
      </c>
      <c r="AA4" cm="1">
        <f t="array" ref="AA4">[1]!propssi("S","Q",1,"T",AB4,$Z$1)/1000</f>
        <v>1.7555844586282094</v>
      </c>
      <c r="AB4">
        <v>274</v>
      </c>
      <c r="AC4">
        <f t="shared" ref="AC4:AC67" si="0">AB4-273</f>
        <v>1</v>
      </c>
    </row>
    <row r="5" spans="1:29" x14ac:dyDescent="0.3">
      <c r="A5" t="s">
        <v>8</v>
      </c>
      <c r="B5" s="2">
        <v>5</v>
      </c>
      <c r="C5" t="s">
        <v>1</v>
      </c>
      <c r="F5" t="s">
        <v>33</v>
      </c>
      <c r="W5" cm="1">
        <f t="array" ref="W5">[1]!propssi("S","Q",0,"T",Y5,$W$1)/1000</f>
        <v>1.007949921588732</v>
      </c>
      <c r="X5" cm="1">
        <f t="array" ref="X5">[1]!propssi("S","Q",1,"T",Y5,$W$1)/1000</f>
        <v>1.7450954296239909</v>
      </c>
      <c r="Y5">
        <v>275</v>
      </c>
      <c r="Z5" cm="1">
        <f t="array" ref="Z5">[1]!propssi("S","Q",0,"T",AB5,$Z$1)/1000</f>
        <v>1.0089910884181452</v>
      </c>
      <c r="AA5" cm="1">
        <f t="array" ref="AA5">[1]!propssi("S","Q",1,"T",AB5,$Z$1)/1000</f>
        <v>1.756149970091252</v>
      </c>
      <c r="AB5">
        <v>275</v>
      </c>
      <c r="AC5">
        <f t="shared" si="0"/>
        <v>2</v>
      </c>
    </row>
    <row r="6" spans="1:29" x14ac:dyDescent="0.3">
      <c r="A6" t="s">
        <v>40</v>
      </c>
      <c r="B6" s="2">
        <v>20</v>
      </c>
      <c r="C6" t="s">
        <v>1</v>
      </c>
      <c r="F6" t="s">
        <v>34</v>
      </c>
      <c r="W6" cm="1">
        <f t="array" ref="W6">[1]!propssi("S","Q",0,"T",Y6,$W$1)/1000</f>
        <v>1.0122323565496221</v>
      </c>
      <c r="X6" cm="1">
        <f t="array" ref="X6">[1]!propssi("S","Q",1,"T",Y6,$W$1)/1000</f>
        <v>1.7449637387150259</v>
      </c>
      <c r="Y6">
        <v>276</v>
      </c>
      <c r="Z6" cm="1">
        <f t="array" ref="Z6">[1]!propssi("S","Q",0,"T",AB6,$Z$1)/1000</f>
        <v>1.0138348955909882</v>
      </c>
      <c r="AA6" cm="1">
        <f t="array" ref="AA6">[1]!propssi("S","Q",1,"T",AB6,$Z$1)/1000</f>
        <v>1.756733034473817</v>
      </c>
      <c r="AB6">
        <v>276</v>
      </c>
      <c r="AC6">
        <f t="shared" si="0"/>
        <v>3</v>
      </c>
    </row>
    <row r="7" spans="1:29" x14ac:dyDescent="0.3">
      <c r="A7" t="s">
        <v>2</v>
      </c>
      <c r="B7" s="2" t="str">
        <f>F7</f>
        <v>REFPROP::R1233ZDE[0.5]&amp;R1234ZEZ[0.5]</v>
      </c>
      <c r="F7" t="s">
        <v>37</v>
      </c>
      <c r="W7" cm="1">
        <f t="array" ref="W7">[1]!propssi("S","Q",0,"T",Y7,$W$1)/1000</f>
        <v>1.0165045076500987</v>
      </c>
      <c r="X7" cm="1">
        <f t="array" ref="X7">[1]!propssi("S","Q",1,"T",Y7,$W$1)/1000</f>
        <v>1.7448485673378957</v>
      </c>
      <c r="Y7">
        <v>277</v>
      </c>
      <c r="Z7" cm="1">
        <f t="array" ref="Z7">[1]!propssi("S","Q",0,"T",AB7,$Z$1)/1000</f>
        <v>1.0186674534350868</v>
      </c>
      <c r="AA7" cm="1">
        <f t="array" ref="AA7">[1]!propssi("S","Q",1,"T",AB7,$Z$1)/1000</f>
        <v>1.7573333011158763</v>
      </c>
      <c r="AB7">
        <v>277</v>
      </c>
      <c r="AC7">
        <f t="shared" si="0"/>
        <v>4</v>
      </c>
    </row>
    <row r="8" spans="1:29" x14ac:dyDescent="0.3">
      <c r="A8" t="s">
        <v>3</v>
      </c>
      <c r="B8" s="2"/>
      <c r="W8" cm="1">
        <f t="array" ref="W8">[1]!propssi("S","Q",0,"T",Y8,$W$1)/1000</f>
        <v>1.0207664647681178</v>
      </c>
      <c r="X8" cm="1">
        <f t="array" ref="X8">[1]!propssi("S","Q",1,"T",Y8,$W$1)/1000</f>
        <v>1.744749588791072</v>
      </c>
      <c r="Y8">
        <v>278</v>
      </c>
      <c r="Z8" cm="1">
        <f t="array" ref="Z8">[1]!propssi("S","Q",0,"T",AB8,$Z$1)/1000</f>
        <v>1.0234888752800013</v>
      </c>
      <c r="AA8" cm="1">
        <f t="array" ref="AA8">[1]!propssi("S","Q",1,"T",AB8,$Z$1)/1000</f>
        <v>1.7579504234249237</v>
      </c>
      <c r="AB8">
        <v>278</v>
      </c>
      <c r="AC8">
        <f t="shared" si="0"/>
        <v>5</v>
      </c>
    </row>
    <row r="9" spans="1:29" x14ac:dyDescent="0.3">
      <c r="J9" t="s">
        <v>17</v>
      </c>
      <c r="K9">
        <f>E12-E18</f>
        <v>116.83963755447354</v>
      </c>
      <c r="L9" t="s">
        <v>19</v>
      </c>
      <c r="W9" cm="1">
        <f t="array" ref="W9">[1]!propssi("S","Q",0,"T",Y9,$W$1)/1000</f>
        <v>1.025018317315169</v>
      </c>
      <c r="X9" cm="1">
        <f t="array" ref="X9">[1]!propssi("S","Q",1,"T",Y9,$W$1)/1000</f>
        <v>1.7446664818249453</v>
      </c>
      <c r="Y9">
        <v>279</v>
      </c>
      <c r="Z9" cm="1">
        <f t="array" ref="Z9">[1]!propssi("S","Q",0,"T",AB9,$Z$1)/1000</f>
        <v>1.0282992731025271</v>
      </c>
      <c r="AA9" cm="1">
        <f t="array" ref="AA9">[1]!propssi("S","Q",1,"T",AB9,$Z$1)/1000</f>
        <v>1.7585840588389152</v>
      </c>
      <c r="AB9">
        <v>279</v>
      </c>
      <c r="AC9">
        <f t="shared" si="0"/>
        <v>6</v>
      </c>
    </row>
    <row r="10" spans="1:29" x14ac:dyDescent="0.3">
      <c r="B10" s="4"/>
      <c r="C10" s="4"/>
      <c r="D10" s="4"/>
      <c r="E10" s="4"/>
      <c r="F10" s="4"/>
      <c r="G10" s="4"/>
      <c r="H10" s="5"/>
      <c r="J10" t="s">
        <v>18</v>
      </c>
      <c r="K10">
        <f>E15-E16</f>
        <v>146.97184940096361</v>
      </c>
      <c r="L10" t="s">
        <v>19</v>
      </c>
      <c r="W10" cm="1">
        <f t="array" ref="W10">[1]!propssi("S","Q",0,"T",Y10,$W$1)/1000</f>
        <v>1.0292601542559727</v>
      </c>
      <c r="X10" cm="1">
        <f t="array" ref="X10">[1]!propssi("S","Q",1,"T",Y10,$W$1)/1000</f>
        <v>1.7445989305328053</v>
      </c>
      <c r="Y10">
        <v>280</v>
      </c>
      <c r="Z10" cm="1">
        <f t="array" ref="Z10">[1]!propssi("S","Q",0,"T",AB10,$Z$1)/1000</f>
        <v>1.0330987575557922</v>
      </c>
      <c r="AA10" cm="1">
        <f t="array" ref="AA10">[1]!propssi("S","Q",1,"T",AB10,$Z$1)/1000</f>
        <v>1.7592338687976699</v>
      </c>
      <c r="AB10">
        <v>280</v>
      </c>
      <c r="AC10">
        <f t="shared" si="0"/>
        <v>7</v>
      </c>
    </row>
    <row r="11" spans="1:29" x14ac:dyDescent="0.3">
      <c r="A11" s="4"/>
      <c r="B11" s="5" t="s">
        <v>26</v>
      </c>
      <c r="C11" s="5" t="s">
        <v>9</v>
      </c>
      <c r="D11" s="5" t="s">
        <v>10</v>
      </c>
      <c r="E11" s="5" t="s">
        <v>14</v>
      </c>
      <c r="F11" s="5" t="s">
        <v>15</v>
      </c>
      <c r="G11" s="6" t="s">
        <v>23</v>
      </c>
      <c r="J11" t="s">
        <v>27</v>
      </c>
      <c r="K11">
        <f>E3/K10</f>
        <v>3.4020120318137725</v>
      </c>
      <c r="L11" t="s">
        <v>20</v>
      </c>
      <c r="W11" cm="1">
        <f t="array" ref="W11">[1]!propssi("S","Q",0,"T",Y11,$W$1)/1000</f>
        <v>1.0334920641278504</v>
      </c>
      <c r="X11" cm="1">
        <f t="array" ref="X11">[1]!propssi("S","Q",1,"T",Y11,$W$1)/1000</f>
        <v>1.7445466242425101</v>
      </c>
      <c r="Y11">
        <v>281</v>
      </c>
      <c r="Z11" cm="1">
        <f t="array" ref="Z11">[1]!propssi("S","Q",0,"T",AB11,$Z$1)/1000</f>
        <v>1.0378874379980414</v>
      </c>
      <c r="AA11" cm="1">
        <f t="array" ref="AA11">[1]!propssi("S","Q",1,"T",AB11,$Z$1)/1000</f>
        <v>1.7598995187226276</v>
      </c>
      <c r="AB11">
        <v>281</v>
      </c>
      <c r="AC11">
        <f t="shared" si="0"/>
        <v>8</v>
      </c>
    </row>
    <row r="12" spans="1:29" x14ac:dyDescent="0.3">
      <c r="A12" s="4"/>
      <c r="B12" s="5">
        <v>1</v>
      </c>
      <c r="C12" cm="1">
        <f t="array" ref="C12">[1]!propssi("P","T",B2+273.15,"Q",1,$B$7)/1000</f>
        <v>783.69038461362004</v>
      </c>
      <c r="D12">
        <f>B2+B4</f>
        <v>85</v>
      </c>
      <c r="E12" cm="1">
        <f t="array" ref="E12">[1]!propssi("H","P",C12*1000,"T",D12+273.15,$B$7)/1000</f>
        <v>469.06433807965357</v>
      </c>
      <c r="F12" cm="1">
        <f t="array" ref="F12">[1]!propssi("S","P",C12*1000,"T",D12+273.15,$B$7)/1000</f>
        <v>1.8424140194367755</v>
      </c>
      <c r="G12" cm="1">
        <f t="array" ref="G12">[1]!propssi("D","P",C12*1000,"H",E12*1000,$B$7)</f>
        <v>39.103293581902591</v>
      </c>
      <c r="J12" t="s">
        <v>21</v>
      </c>
      <c r="K12">
        <f>K10-K9</f>
        <v>30.132211846490065</v>
      </c>
      <c r="L12" t="s">
        <v>19</v>
      </c>
      <c r="W12" cm="1">
        <f t="array" ref="W12">[1]!propssi("S","Q",0,"T",Y12,$W$1)/1000</f>
        <v>1.0377141350597896</v>
      </c>
      <c r="X12" cm="1">
        <f t="array" ref="X12">[1]!propssi("S","Q",1,"T",Y12,$W$1)/1000</f>
        <v>1.7445092574087853</v>
      </c>
      <c r="Y12">
        <v>282</v>
      </c>
      <c r="Z12" cm="1">
        <f t="array" ref="Z12">[1]!propssi("S","Q",0,"T",AB12,$Z$1)/1000</f>
        <v>1.04266542252114</v>
      </c>
      <c r="AA12" cm="1">
        <f t="array" ref="AA12">[1]!propssi("S","Q",1,"T",AB12,$Z$1)/1000</f>
        <v>1.7605806780046054</v>
      </c>
      <c r="AB12">
        <v>282</v>
      </c>
      <c r="AC12">
        <f t="shared" si="0"/>
        <v>9</v>
      </c>
    </row>
    <row r="13" spans="1:29" x14ac:dyDescent="0.3">
      <c r="A13" s="4"/>
      <c r="B13" t="s">
        <v>38</v>
      </c>
      <c r="C13">
        <f>C12</f>
        <v>783.69038461362004</v>
      </c>
      <c r="D13">
        <f>D16-B6</f>
        <v>105</v>
      </c>
      <c r="E13" cm="1">
        <f t="array" ref="E13">[1]!propssi("H","P",C13*1000,"T",D13+273.15,$B$7)/1000</f>
        <v>490.26560935011986</v>
      </c>
      <c r="F13" cm="1">
        <f t="array" ref="F13">[1]!propssi("S","P",C13*1000,"T",D13+273.15,$B$7)/1000</f>
        <v>1.9000214698773104</v>
      </c>
      <c r="G13" cm="1">
        <f t="array" ref="G13">[1]!propssi("D","P",C13*1000,"H",E13*1000,$B$7)</f>
        <v>35.435767251722972</v>
      </c>
      <c r="J13" t="s">
        <v>22</v>
      </c>
      <c r="K13">
        <f>K11*K12</f>
        <v>102.5101472469207</v>
      </c>
      <c r="L13" t="s">
        <v>13</v>
      </c>
      <c r="W13" cm="1">
        <f t="array" ref="W13">[1]!propssi("S","Q",0,"T",Y13,$W$1)/1000</f>
        <v>1.0419264547912337</v>
      </c>
      <c r="X13" cm="1">
        <f t="array" ref="X13">[1]!propssi("S","Q",1,"T",Y13,$W$1)/1000</f>
        <v>1.7444865295061738</v>
      </c>
      <c r="Y13">
        <v>283</v>
      </c>
      <c r="Z13" cm="1">
        <f t="array" ref="Z13">[1]!propssi("S","Q",0,"T",AB13,$Z$1)/1000</f>
        <v>1.0474328179788364</v>
      </c>
      <c r="AA13" cm="1">
        <f t="array" ref="AA13">[1]!propssi("S","Q",1,"T",AB13,$Z$1)/1000</f>
        <v>1.7612770199993437</v>
      </c>
      <c r="AB13">
        <v>283</v>
      </c>
      <c r="AC13">
        <f t="shared" si="0"/>
        <v>10</v>
      </c>
    </row>
    <row r="14" spans="1:29" x14ac:dyDescent="0.3">
      <c r="A14" s="4"/>
      <c r="B14" s="5" t="s">
        <v>16</v>
      </c>
      <c r="C14">
        <f>C15</f>
        <v>2264.4430846069158</v>
      </c>
      <c r="D14" cm="1">
        <f t="array" ref="D14">[1]!propssi("T","P",C14*1000,"S",F14*1000,$B$7)-273.15</f>
        <v>148.91696953347196</v>
      </c>
      <c r="E14" cm="1">
        <f t="array" ref="E14">[1]!propssi("H","P",C14*1000,"S",F14*1000,$B$7)/1000</f>
        <v>512.86476823498742</v>
      </c>
      <c r="F14">
        <f>F13</f>
        <v>1.9000214698773104</v>
      </c>
      <c r="G14" cm="1">
        <f t="array" ref="G14">[1]!propssi("D","P",C14*1000,"H",E14*1000,$B$7)</f>
        <v>113.8729159617066</v>
      </c>
      <c r="J14" t="s">
        <v>24</v>
      </c>
      <c r="K14">
        <f>K10/K12</f>
        <v>4.8775659135054017</v>
      </c>
      <c r="W14" cm="1">
        <f t="array" ref="W14">[1]!propssi("S","Q",0,"T",Y14,$W$1)/1000</f>
        <v>1.0461291106906001</v>
      </c>
      <c r="X14" cm="1">
        <f t="array" ref="X14">[1]!propssi("S","Q",1,"T",Y14,$W$1)/1000</f>
        <v>1.7444781449225826</v>
      </c>
      <c r="Y14">
        <v>284</v>
      </c>
      <c r="Z14" cm="1">
        <f t="array" ref="Z14">[1]!propssi("S","Q",0,"T",AB14,$Z$1)/1000</f>
        <v>1.0521897300147507</v>
      </c>
      <c r="AA14" cm="1">
        <f t="array" ref="AA14">[1]!propssi("S","Q",1,"T",AB14,$Z$1)/1000</f>
        <v>1.7619882220304972</v>
      </c>
      <c r="AB14">
        <v>284</v>
      </c>
      <c r="AC14">
        <f t="shared" si="0"/>
        <v>11</v>
      </c>
    </row>
    <row r="15" spans="1:29" x14ac:dyDescent="0.3">
      <c r="A15" s="4"/>
      <c r="B15" s="5">
        <v>2</v>
      </c>
      <c r="C15">
        <f>C16</f>
        <v>2264.4430846069158</v>
      </c>
      <c r="D15" cm="1">
        <f t="array" ref="D15">[1]!propssi("T","P",C15*1000,"H",E15*1000,$B$7)-273.15</f>
        <v>154.53388676943251</v>
      </c>
      <c r="E15">
        <f>(E14-E13)/E2+E13</f>
        <v>520.39782119660993</v>
      </c>
      <c r="F15" cm="1">
        <f t="array" ref="F15">[1]!propssi("S","P",C15*1000,"H",E15*1000,$B$7)/1000</f>
        <v>1.9177523720060978</v>
      </c>
      <c r="G15" cm="1">
        <f t="array" ref="G15">[1]!propssi("D","P",C15*1000,"H",E15*1000,$B$7)</f>
        <v>109.09894281749143</v>
      </c>
      <c r="J15" t="s">
        <v>25</v>
      </c>
      <c r="K15">
        <f>K10*G13</f>
        <v>5208.0602479278268</v>
      </c>
      <c r="L15" t="s">
        <v>41</v>
      </c>
      <c r="W15" cm="1">
        <f t="array" ref="W15">[1]!propssi("S","Q",0,"T",Y15,$W$1)/1000</f>
        <v>1.0503221897736099</v>
      </c>
      <c r="X15" cm="1">
        <f t="array" ref="X15">[1]!propssi("S","Q",1,"T",Y15,$W$1)/1000</f>
        <v>1.7444838128534825</v>
      </c>
      <c r="Y15">
        <v>285</v>
      </c>
      <c r="Z15" cm="1">
        <f t="array" ref="Z15">[1]!propssi("S","Q",0,"T",AB15,$Z$1)/1000</f>
        <v>1.0569362630901293</v>
      </c>
      <c r="AA15" cm="1">
        <f t="array" ref="AA15">[1]!propssi("S","Q",1,"T",AB15,$Z$1)/1000</f>
        <v>1.7627139653996766</v>
      </c>
      <c r="AB15">
        <v>285</v>
      </c>
      <c r="AC15">
        <f t="shared" si="0"/>
        <v>12</v>
      </c>
    </row>
    <row r="16" spans="1:29" x14ac:dyDescent="0.3">
      <c r="A16" s="4"/>
      <c r="B16" s="5">
        <v>3</v>
      </c>
      <c r="C16" cm="1">
        <f t="array" ref="C16">[1]!propssi("P","T",B3+273.15,"Q",0,$B$7)/1000</f>
        <v>2264.4430846069158</v>
      </c>
      <c r="D16">
        <f>B3-B5</f>
        <v>125</v>
      </c>
      <c r="E16" cm="1">
        <f t="array" ref="E16">[1]!propssi("H","P",C16*1000,"T",D16+273.15,$B$7)/1000</f>
        <v>373.42597179564632</v>
      </c>
      <c r="F16" cm="1">
        <f t="array" ref="F16">[1]!propssi("S","P",C16*1000,"T",D16+273.15,$B$7)/1000</f>
        <v>1.5556884868558336</v>
      </c>
      <c r="G16" cm="1">
        <f t="array" ref="G16">[1]!propssi("D","P",C16*1000,"H",E16*1000,$B$7)</f>
        <v>897.58882037196258</v>
      </c>
      <c r="W16" cm="1">
        <f t="array" ref="W16">[1]!propssi("S","Q",0,"T",Y16,$W$1)/1000</f>
        <v>1.0545057787213796</v>
      </c>
      <c r="X16" cm="1">
        <f t="array" ref="X16">[1]!propssi("S","Q",1,"T",Y16,$W$1)/1000</f>
        <v>1.7445032471966819</v>
      </c>
      <c r="Y16">
        <v>286</v>
      </c>
      <c r="Z16" cm="1">
        <f t="array" ref="Z16">[1]!propssi("S","Q",0,"T",AB16,$Z$1)/1000</f>
        <v>1.0616725205113571</v>
      </c>
      <c r="AA16" cm="1">
        <f t="array" ref="AA16">[1]!propssi("S","Q",1,"T",AB16,$Z$1)/1000</f>
        <v>1.7634539354032286</v>
      </c>
      <c r="AB16">
        <v>286</v>
      </c>
      <c r="AC16">
        <f t="shared" si="0"/>
        <v>13</v>
      </c>
    </row>
    <row r="17" spans="1:29" x14ac:dyDescent="0.3">
      <c r="A17" s="4"/>
      <c r="B17" t="s">
        <v>39</v>
      </c>
      <c r="C17">
        <f>C16</f>
        <v>2264.4430846069158</v>
      </c>
      <c r="D17" cm="1">
        <f t="array" ref="D17">[1]!propssi("T","P",C17*1000,"H",E17*1000,$B$7)-273.15</f>
        <v>112.1361240389918</v>
      </c>
      <c r="E17">
        <f>E16-(E13-E12)</f>
        <v>352.22470052518003</v>
      </c>
      <c r="F17" cm="1">
        <f t="array" ref="F17">[1]!propssi("S","P",C17*1000,"T",D17+273.15,$B$7)/1000</f>
        <v>1.5015758059013871</v>
      </c>
      <c r="G17" cm="1">
        <f t="array" ref="G17">[1]!propssi("D","P",C17*1000,"H",E17*1000,$B$7)</f>
        <v>966.36398137676406</v>
      </c>
      <c r="K17" t="s">
        <v>44</v>
      </c>
      <c r="L17" t="s">
        <v>45</v>
      </c>
      <c r="W17" cm="1">
        <f t="array" ref="W17">[1]!propssi("S","Q",0,"T",Y17,$W$1)/1000</f>
        <v>1.0586799638983757</v>
      </c>
      <c r="X17" cm="1">
        <f t="array" ref="X17">[1]!propssi("S","Q",1,"T",Y17,$W$1)/1000</f>
        <v>1.744536166447715</v>
      </c>
      <c r="Y17">
        <v>287</v>
      </c>
      <c r="Z17" cm="1">
        <f t="array" ref="Z17">[1]!propssi("S","Q",0,"T",AB17,$Z$1)/1000</f>
        <v>1.0663986044572629</v>
      </c>
      <c r="AA17" cm="1">
        <f t="array" ref="AA17">[1]!propssi("S","Q",1,"T",AB17,$Z$1)/1000</f>
        <v>1.7642078213552397</v>
      </c>
      <c r="AB17">
        <v>287</v>
      </c>
      <c r="AC17">
        <f t="shared" si="0"/>
        <v>14</v>
      </c>
    </row>
    <row r="18" spans="1:29" x14ac:dyDescent="0.3">
      <c r="A18" s="4"/>
      <c r="B18" s="5">
        <v>4</v>
      </c>
      <c r="C18">
        <f>C12</f>
        <v>783.69038461362004</v>
      </c>
      <c r="D18" cm="1">
        <f t="array" ref="D18">[1]!propssi("T","P",C18*1000,"H",E18*1000,$B$7)-273.15</f>
        <v>79.556491025652122</v>
      </c>
      <c r="E18">
        <f>E17</f>
        <v>352.22470052518003</v>
      </c>
      <c r="F18" cm="1">
        <f t="array" ref="F18">[1]!propssi("S","P",C18*1000,"H",E18*1000,$B$7)/1000</f>
        <v>1.511467326017971</v>
      </c>
      <c r="G18" cm="1">
        <f t="array" ref="G18">[1]!propssi("D","P",C18*1000,"H",E18*1000,$B$7)</f>
        <v>123.5171271519028</v>
      </c>
      <c r="J18" t="s">
        <v>42</v>
      </c>
      <c r="K18">
        <f>K14-BASIC!K14</f>
        <v>0.53134637581438682</v>
      </c>
      <c r="L18">
        <f>(K14/BASIC!K14-1)*100</f>
        <v>12.225484037483092</v>
      </c>
      <c r="W18" cm="1">
        <f t="array" ref="W18">[1]!propssi("S","Q",0,"T",Y18,$W$1)/1000</f>
        <v>1.0628448313701864</v>
      </c>
      <c r="X18" cm="1">
        <f t="array" ref="X18">[1]!propssi("S","Q",1,"T",Y18,$W$1)/1000</f>
        <v>1.7445822935958104</v>
      </c>
      <c r="Y18">
        <v>288</v>
      </c>
      <c r="Z18" cm="1">
        <f t="array" ref="Z18">[1]!propssi("S","Q",0,"T",AB18,$Z$1)/1000</f>
        <v>1.0711146160061888</v>
      </c>
      <c r="AA18" cm="1">
        <f t="array" ref="AA18">[1]!propssi("S","Q",1,"T",AB18,$Z$1)/1000</f>
        <v>1.7649753166163393</v>
      </c>
      <c r="AB18">
        <v>288</v>
      </c>
      <c r="AC18">
        <f t="shared" si="0"/>
        <v>15</v>
      </c>
    </row>
    <row r="19" spans="1:29" x14ac:dyDescent="0.3">
      <c r="J19" t="s">
        <v>43</v>
      </c>
      <c r="K19">
        <f>K15-BASIC!K15</f>
        <v>1051.5215333610831</v>
      </c>
      <c r="L19">
        <f>(K15/BASIC!K15-1)*100</f>
        <v>25.298008885999003</v>
      </c>
      <c r="W19" cm="1">
        <f t="array" ref="W19">[1]!propssi("S","Q",0,"T",Y19,$W$1)/1000</f>
        <v>1.0670004669212028</v>
      </c>
      <c r="X19" cm="1">
        <f t="array" ref="X19">[1]!propssi("S","Q",1,"T",Y19,$W$1)/1000</f>
        <v>1.7446413560204608</v>
      </c>
      <c r="Y19">
        <v>289</v>
      </c>
      <c r="Z19" cm="1">
        <f t="array" ref="Z19">[1]!propssi("S","Q",0,"T",AB19,$Z$1)/1000</f>
        <v>1.0758206551628535</v>
      </c>
      <c r="AA19" cm="1">
        <f t="array" ref="AA19">[1]!propssi("S","Q",1,"T",AB19,$Z$1)/1000</f>
        <v>1.7657561186278603</v>
      </c>
      <c r="AB19">
        <v>289</v>
      </c>
      <c r="AC19">
        <f t="shared" si="0"/>
        <v>16</v>
      </c>
    </row>
    <row r="20" spans="1:29" x14ac:dyDescent="0.3">
      <c r="W20" cm="1">
        <f t="array" ref="W20">[1]!propssi("S","Q",0,"T",Y20,$W$1)/1000</f>
        <v>1.0711469560721758</v>
      </c>
      <c r="X20" cm="1">
        <f t="array" ref="X20">[1]!propssi("S","Q",1,"T",Y20,$W$1)/1000</f>
        <v>1.7447130853885426</v>
      </c>
      <c r="Y20">
        <v>290</v>
      </c>
      <c r="Z20" cm="1">
        <f t="array" ref="Z20">[1]!propssi("S","Q",0,"T",AB20,$Z$1)/1000</f>
        <v>1.0805168208850455</v>
      </c>
      <c r="AA20" cm="1">
        <f t="array" ref="AA20">[1]!propssi("S","Q",1,"T",AB20,$Z$1)/1000</f>
        <v>1.7665499289507529</v>
      </c>
      <c r="AB20">
        <v>290</v>
      </c>
      <c r="AC20">
        <f t="shared" si="0"/>
        <v>17</v>
      </c>
    </row>
    <row r="21" spans="1:29" x14ac:dyDescent="0.3">
      <c r="T21" t="s">
        <v>29</v>
      </c>
      <c r="U21" t="s">
        <v>28</v>
      </c>
      <c r="W21" cm="1">
        <f t="array" ref="W21">[1]!propssi("S","Q",0,"T",Y21,$W$1)/1000</f>
        <v>1.0752843840977115</v>
      </c>
      <c r="X21" cm="1">
        <f t="array" ref="X21">[1]!propssi("S","Q",1,"T",Y21,$W$1)/1000</f>
        <v>1.7447972175520319</v>
      </c>
      <c r="Y21">
        <v>291</v>
      </c>
      <c r="Z21" cm="1">
        <f t="array" ref="Z21">[1]!propssi("S","Q",0,"T",AB21,$Z$1)/1000</f>
        <v>1.0852032111101022</v>
      </c>
      <c r="AA21" cm="1">
        <f t="array" ref="AA21">[1]!propssi("S","Q",1,"T",AB21,$Z$1)/1000</f>
        <v>1.767356453308732</v>
      </c>
      <c r="AB21">
        <v>291</v>
      </c>
      <c r="AC21">
        <f t="shared" si="0"/>
        <v>18</v>
      </c>
    </row>
    <row r="22" spans="1:29" x14ac:dyDescent="0.3">
      <c r="T22">
        <v>1</v>
      </c>
      <c r="U22">
        <v>4.7893308331866598</v>
      </c>
      <c r="W22" cm="1">
        <f t="array" ref="W22">[1]!propssi("S","Q",0,"T",Y22,$W$1)/1000</f>
        <v>1.0794128360437187</v>
      </c>
      <c r="X22" cm="1">
        <f t="array" ref="X22">[1]!propssi("S","Q",1,"T",Y22,$W$1)/1000</f>
        <v>1.7448934924462645</v>
      </c>
      <c r="Y22">
        <v>292</v>
      </c>
      <c r="Z22" cm="1">
        <f t="array" ref="Z22">[1]!propssi("S","Q",0,"T",AB22,$Z$1)/1000</f>
        <v>1.0898799227812073</v>
      </c>
      <c r="AA22" cm="1">
        <f t="array" ref="AA22">[1]!propssi("S","Q",1,"T",AB22,$Z$1)/1000</f>
        <v>1.7681754016352003</v>
      </c>
      <c r="AB22">
        <v>292</v>
      </c>
      <c r="AC22">
        <f t="shared" si="0"/>
        <v>19</v>
      </c>
    </row>
    <row r="23" spans="1:29" x14ac:dyDescent="0.3">
      <c r="T23">
        <v>0.96</v>
      </c>
      <c r="U23">
        <v>4.7554994090623204</v>
      </c>
      <c r="W23" cm="1">
        <f t="array" ref="W23">[1]!propssi("S","Q",0,"T",Y23,$W$1)/1000</f>
        <v>1.0835323967448098</v>
      </c>
      <c r="X23" cm="1">
        <f t="array" ref="X23">[1]!propssi("S","Q",1,"T",Y23,$W$1)/1000</f>
        <v>1.7450016539887465</v>
      </c>
      <c r="Y23">
        <v>293</v>
      </c>
      <c r="Z23" cm="1">
        <f t="array" ref="Z23">[1]!propssi("S","Q",0,"T",AB23,$Z$1)/1000</f>
        <v>1.0945470518735179</v>
      </c>
      <c r="AA23" cm="1">
        <f t="array" ref="AA23">[1]!propssi("S","Q",1,"T",AB23,$Z$1)/1000</f>
        <v>1.7690064881231771</v>
      </c>
      <c r="AB23">
        <v>293</v>
      </c>
      <c r="AC23">
        <f t="shared" si="0"/>
        <v>20</v>
      </c>
    </row>
    <row r="24" spans="1:29" x14ac:dyDescent="0.3">
      <c r="T24">
        <v>0.92</v>
      </c>
      <c r="U24">
        <v>4.7208319833930297</v>
      </c>
      <c r="W24" cm="1">
        <f t="array" ref="W24">[1]!propssi("S","Q",0,"T",Y24,$W$1)/1000</f>
        <v>1.0876431508417204</v>
      </c>
      <c r="X24" cm="1">
        <f t="array" ref="X24">[1]!propssi("S","Q",1,"T",Y24,$W$1)/1000</f>
        <v>1.745121449978533</v>
      </c>
      <c r="Y24">
        <v>294</v>
      </c>
      <c r="Z24" cm="1">
        <f t="array" ref="Z24">[1]!propssi("S","Q",0,"T",AB24,$Z$1)/1000</f>
        <v>1.0992046934201196</v>
      </c>
      <c r="AA24" cm="1">
        <f t="array" ref="AA24">[1]!propssi("S","Q",1,"T",AB24,$Z$1)/1000</f>
        <v>1.7698494312778001</v>
      </c>
      <c r="AB24">
        <v>294</v>
      </c>
      <c r="AC24">
        <f t="shared" si="0"/>
        <v>21</v>
      </c>
    </row>
    <row r="25" spans="1:29" x14ac:dyDescent="0.3">
      <c r="T25">
        <v>0.88</v>
      </c>
      <c r="U25">
        <v>4.6899030937853299</v>
      </c>
      <c r="W25" cm="1">
        <f t="array" ref="W25">[1]!propssi("S","Q",0,"T",Y25,$W$1)/1000</f>
        <v>1.0917451827987306</v>
      </c>
      <c r="X25" cm="1">
        <f t="array" ref="X25">[1]!propssi("S","Q",1,"T",Y25,$W$1)/1000</f>
        <v>1.7452526319961212</v>
      </c>
      <c r="Y25">
        <v>295</v>
      </c>
      <c r="Z25" cm="1">
        <f t="array" ref="Z25">[1]!propssi("S","Q",0,"T",AB25,$Z$1)/1000</f>
        <v>1.1038529415378417</v>
      </c>
      <c r="AA25" cm="1">
        <f t="array" ref="AA25">[1]!propssi("S","Q",1,"T",AB25,$Z$1)/1000</f>
        <v>1.7707039539707101</v>
      </c>
      <c r="AB25">
        <v>295</v>
      </c>
      <c r="AC25">
        <f t="shared" si="0"/>
        <v>22</v>
      </c>
    </row>
    <row r="26" spans="1:29" x14ac:dyDescent="0.3">
      <c r="T26">
        <v>0.84</v>
      </c>
      <c r="U26">
        <v>4.6490939329048002</v>
      </c>
      <c r="W26" cm="1">
        <f t="array" ref="W26">[1]!propssi("S","Q",0,"T",Y26,$W$1)/1000</f>
        <v>1.0958385769211378</v>
      </c>
      <c r="X26" cm="1">
        <f t="array" ref="X26">[1]!propssi("S","Q",1,"T",Y26,$W$1)/1000</f>
        <v>1.7453949553038903</v>
      </c>
      <c r="Y26">
        <v>296</v>
      </c>
      <c r="Z26" cm="1">
        <f t="array" ref="Z26">[1]!propssi("S","Q",0,"T",AB26,$Z$1)/1000</f>
        <v>1.1084918894528615</v>
      </c>
      <c r="AA26" cm="1">
        <f t="array" ref="AA26">[1]!propssi("S","Q",1,"T",AB26,$Z$1)/1000</f>
        <v>1.7715697834956821</v>
      </c>
      <c r="AB26">
        <v>296</v>
      </c>
      <c r="AC26">
        <f t="shared" si="0"/>
        <v>23</v>
      </c>
    </row>
    <row r="27" spans="1:29" x14ac:dyDescent="0.3">
      <c r="T27">
        <v>0.8</v>
      </c>
      <c r="U27">
        <v>4.61190943894767</v>
      </c>
      <c r="W27" cm="1">
        <f t="array" ref="W27">[1]!propssi("S","Q",0,"T",Y27,$W$1)/1000</f>
        <v>1.0999234173727939</v>
      </c>
      <c r="X27" cm="1">
        <f t="array" ref="X27">[1]!propssi("S","Q",1,"T",Y27,$W$1)/1000</f>
        <v>1.745548178747051</v>
      </c>
      <c r="Y27">
        <v>297</v>
      </c>
      <c r="Z27" cm="1">
        <f t="array" ref="Z27">[1]!propssi("S","Q",0,"T",AB27,$Z$1)/1000</f>
        <v>1.1131216295262183</v>
      </c>
      <c r="AA27" cm="1">
        <f t="array" ref="AA27">[1]!propssi("S","Q",1,"T",AB27,$Z$1)/1000</f>
        <v>1.7724466516249739</v>
      </c>
      <c r="AB27">
        <v>297</v>
      </c>
      <c r="AC27">
        <f t="shared" si="0"/>
        <v>24</v>
      </c>
    </row>
    <row r="28" spans="1:29" x14ac:dyDescent="0.3">
      <c r="T28">
        <v>0.76</v>
      </c>
      <c r="U28">
        <v>4.5737778137860996</v>
      </c>
      <c r="W28" cm="1">
        <f t="array" ref="W28">[1]!propssi("S","Q",0,"T",Y28,$W$1)/1000</f>
        <v>1.1039997881937191</v>
      </c>
      <c r="X28" cm="1">
        <f t="array" ref="X28">[1]!propssi("S","Q",1,"T",Y28,$W$1)/1000</f>
        <v>1.7457120646551012</v>
      </c>
      <c r="Y28">
        <v>298</v>
      </c>
      <c r="Z28" cm="1">
        <f t="array" ref="Z28">[1]!propssi("S","Q",0,"T",AB28,$Z$1)/1000</f>
        <v>1.1177422532791195</v>
      </c>
      <c r="AA28" cm="1">
        <f t="array" ref="AA28">[1]!propssi("S","Q",1,"T",AB28,$Z$1)/1000</f>
        <v>1.7733342946656077</v>
      </c>
      <c r="AB28">
        <v>298</v>
      </c>
      <c r="AC28">
        <f t="shared" si="0"/>
        <v>25</v>
      </c>
    </row>
    <row r="29" spans="1:29" x14ac:dyDescent="0.3">
      <c r="T29">
        <v>0.72</v>
      </c>
      <c r="U29">
        <v>4.5346649138857096</v>
      </c>
      <c r="W29" cm="1">
        <f t="array" ref="W29">[1]!propssi("S","Q",0,"T",Y29,$W$1)/1000</f>
        <v>1.1080677733178383</v>
      </c>
      <c r="X29" cm="1">
        <f t="array" ref="X29">[1]!propssi("S","Q",1,"T",Y29,$W$1)/1000</f>
        <v>1.7458863787437831</v>
      </c>
      <c r="Y29">
        <v>299</v>
      </c>
      <c r="Z29" cm="1">
        <f t="array" ref="Z29">[1]!propssi("S","Q",0,"T",AB29,$Z$1)/1000</f>
        <v>1.1223538514181619</v>
      </c>
      <c r="AA29" cm="1">
        <f t="array" ref="AA29">[1]!propssi("S","Q",1,"T",AB29,$Z$1)/1000</f>
        <v>1.7742324535151146</v>
      </c>
      <c r="AB29">
        <v>299</v>
      </c>
      <c r="AC29">
        <f t="shared" si="0"/>
        <v>26</v>
      </c>
    </row>
    <row r="30" spans="1:29" x14ac:dyDescent="0.3">
      <c r="T30">
        <v>0.68</v>
      </c>
      <c r="U30">
        <v>4.4945171615923698</v>
      </c>
      <c r="W30" cm="1">
        <f t="array" ref="W30">[1]!propssi("S","Q",0,"T",Y30,$W$1)/1000</f>
        <v>1.112127456590849</v>
      </c>
      <c r="X30" cm="1">
        <f t="array" ref="X30">[1]!propssi("S","Q",1,"T",Y30,$W$1)/1000</f>
        <v>1.7460708900175383</v>
      </c>
      <c r="Y30">
        <v>300</v>
      </c>
      <c r="Z30" cm="1">
        <f t="array" ref="Z30">[1]!propssi("S","Q",0,"T",AB30,$Z$1)/1000</f>
        <v>1.1269565138603637</v>
      </c>
      <c r="AA30" cm="1">
        <f t="array" ref="AA30">[1]!propssi("S","Q",1,"T",AB30,$Z$1)/1000</f>
        <v>1.7751408737160079</v>
      </c>
      <c r="AB30">
        <v>300</v>
      </c>
      <c r="AC30">
        <f t="shared" si="0"/>
        <v>27</v>
      </c>
    </row>
    <row r="31" spans="1:29" x14ac:dyDescent="0.3">
      <c r="T31">
        <v>0.64</v>
      </c>
      <c r="U31">
        <v>4.4532899490197897</v>
      </c>
      <c r="W31" cm="1">
        <f t="array" ref="W31">[1]!propssi("S","Q",0,"T",Y31,$W$1)/1000</f>
        <v>1.1161789217882361</v>
      </c>
      <c r="X31" cm="1">
        <f t="array" ref="X31">[1]!propssi("S","Q",1,"T",Y31,$W$1)/1000</f>
        <v>1.7462653706723925</v>
      </c>
      <c r="Y31">
        <v>301</v>
      </c>
      <c r="Z31" cm="1">
        <f t="array" ref="Z31">[1]!propssi("S","Q",0,"T",AB31,$Z$1)/1000</f>
        <v>1.1315503297580725</v>
      </c>
      <c r="AA31" cm="1">
        <f t="array" ref="AA31">[1]!propssi("S","Q",1,"T",AB31,$Z$1)/1000</f>
        <v>1.7760593055084377</v>
      </c>
      <c r="AB31">
        <v>301</v>
      </c>
      <c r="AC31">
        <f t="shared" si="0"/>
        <v>28</v>
      </c>
    </row>
    <row r="32" spans="1:29" x14ac:dyDescent="0.3">
      <c r="T32">
        <v>0.6</v>
      </c>
      <c r="U32">
        <v>4.4109022420104802</v>
      </c>
      <c r="W32" cm="1">
        <f t="array" ref="W32">[1]!propssi("S","Q",0,"T",Y32,$W$1)/1000</f>
        <v>1.1202222526334802</v>
      </c>
      <c r="X32" cm="1">
        <f t="array" ref="X32">[1]!propssi("S","Q",1,"T",Y32,$W$1)/1000</f>
        <v>1.7464695959993441</v>
      </c>
      <c r="Y32">
        <v>302</v>
      </c>
      <c r="Z32" cm="1">
        <f t="array" ref="Z32">[1]!propssi("S","Q",0,"T",AB32,$Z$1)/1000</f>
        <v>1.1361353875237687</v>
      </c>
      <c r="AA32" cm="1">
        <f t="array" ref="AA32">[1]!propssi("S","Q",1,"T",AB32,$Z$1)/1000</f>
        <v>1.7769875038802976</v>
      </c>
      <c r="AB32">
        <v>302</v>
      </c>
      <c r="AC32">
        <f t="shared" si="0"/>
        <v>29</v>
      </c>
    </row>
    <row r="33" spans="20:29" x14ac:dyDescent="0.3">
      <c r="T33">
        <v>0.56000000000000005</v>
      </c>
      <c r="U33">
        <v>4.3673494151748802</v>
      </c>
      <c r="W33" cm="1">
        <f t="array" ref="W33">[1]!propssi("S","Q",0,"T",Y33,$W$1)/1000</f>
        <v>1.1242575328164468</v>
      </c>
      <c r="X33" cm="1">
        <f t="array" ref="X33">[1]!propssi("S","Q",1,"T",Y33,$W$1)/1000</f>
        <v>1.7466833442881553</v>
      </c>
      <c r="Y33">
        <v>303</v>
      </c>
      <c r="Z33" cm="1">
        <f t="array" ref="Z33">[1]!propssi("S","Q",0,"T",AB33,$Z$1)/1000</f>
        <v>1.1407117748546867</v>
      </c>
      <c r="AA33" cm="1">
        <f t="array" ref="AA33">[1]!propssi("S","Q",1,"T",AB33,$Z$1)/1000</f>
        <v>1.7779252286144376</v>
      </c>
      <c r="AB33">
        <v>303</v>
      </c>
      <c r="AC33">
        <f t="shared" si="0"/>
        <v>30</v>
      </c>
    </row>
    <row r="34" spans="20:29" x14ac:dyDescent="0.3">
      <c r="T34">
        <v>0.52</v>
      </c>
      <c r="U34">
        <v>4.3225462205585101</v>
      </c>
      <c r="W34" cm="1">
        <f t="array" ref="W34">[1]!propssi("S","Q",0,"T",Y34,$W$1)/1000</f>
        <v>1.1282848460120287</v>
      </c>
      <c r="X34" cm="1">
        <f t="array" ref="X34">[1]!propssi("S","Q",1,"T",Y34,$W$1)/1000</f>
        <v>1.7469063967315774</v>
      </c>
      <c r="Y34">
        <v>304</v>
      </c>
      <c r="Z34" cm="1">
        <f t="array" ref="Z34">[1]!propssi("S","Q",0,"T",AB34,$Z$1)/1000</f>
        <v>1.1452795787573478</v>
      </c>
      <c r="AA34" cm="1">
        <f t="array" ref="AA34">[1]!propssi("S","Q",1,"T",AB34,$Z$1)/1000</f>
        <v>1.7788722443320961</v>
      </c>
      <c r="AB34">
        <v>304</v>
      </c>
      <c r="AC34">
        <f t="shared" si="0"/>
        <v>31</v>
      </c>
    </row>
    <row r="35" spans="20:29" x14ac:dyDescent="0.3">
      <c r="T35">
        <v>0.48</v>
      </c>
      <c r="U35">
        <v>4.2764368531160599</v>
      </c>
      <c r="W35" cm="1">
        <f t="array" ref="W35">[1]!propssi("S","Q",0,"T",Y35,$W$1)/1000</f>
        <v>1.1323042758990149</v>
      </c>
      <c r="X35" cm="1">
        <f t="array" ref="X35">[1]!propssi("S","Q",1,"T",Y35,$W$1)/1000</f>
        <v>1.7471385373299742</v>
      </c>
      <c r="Y35">
        <v>305</v>
      </c>
      <c r="Z35" cm="1">
        <f t="array" ref="Z35">[1]!propssi("S","Q",0,"T",AB35,$Z$1)/1000</f>
        <v>1.1498388855719417</v>
      </c>
      <c r="AA35" cm="1">
        <f t="array" ref="AA35">[1]!propssi("S","Q",1,"T",AB35,$Z$1)/1000</f>
        <v>1.7798283205322114</v>
      </c>
      <c r="AB35">
        <v>305</v>
      </c>
      <c r="AC35">
        <f t="shared" si="0"/>
        <v>32</v>
      </c>
    </row>
    <row r="36" spans="20:29" x14ac:dyDescent="0.3">
      <c r="T36">
        <v>0.44</v>
      </c>
      <c r="U36">
        <v>4.2289670124301697</v>
      </c>
      <c r="W36" cm="1">
        <f t="array" ref="W36">[1]!propssi("S","Q",0,"T",Y36,$W$1)/1000</f>
        <v>1.1363159061792447</v>
      </c>
      <c r="X36" cm="1">
        <f t="array" ref="X36">[1]!propssi("S","Q",1,"T",Y36,$W$1)/1000</f>
        <v>1.7473795527963227</v>
      </c>
      <c r="Y36">
        <v>306</v>
      </c>
      <c r="Z36" cm="1">
        <f t="array" ref="Z36">[1]!propssi("S","Q",0,"T",AB36,$Z$1)/1000</f>
        <v>1.1543897809966124</v>
      </c>
      <c r="AA36" cm="1">
        <f t="array" ref="AA36">[1]!propssi("S","Q",1,"T",AB36,$Z$1)/1000</f>
        <v>1.7807932316260313</v>
      </c>
      <c r="AB36">
        <v>306</v>
      </c>
      <c r="AC36">
        <f t="shared" si="0"/>
        <v>33</v>
      </c>
    </row>
    <row r="37" spans="20:29" x14ac:dyDescent="0.3">
      <c r="T37">
        <v>0.39999999999999902</v>
      </c>
      <c r="U37">
        <v>4.1800825976943301</v>
      </c>
      <c r="W37" cm="1">
        <f t="array" ref="W37">[1]!propssi("S","Q",0,"T",Y37,$W$1)/1000</f>
        <v>1.1403198205970508</v>
      </c>
      <c r="X37" cm="1">
        <f t="array" ref="X37">[1]!propssi("S","Q",1,"T",Y37,$W$1)/1000</f>
        <v>1.7476292324615619</v>
      </c>
      <c r="Y37">
        <v>307</v>
      </c>
      <c r="Z37" cm="1">
        <f t="array" ref="Z37">[1]!propssi("S","Q",0,"T",AB37,$Z$1)/1000</f>
        <v>1.1589323501115749</v>
      </c>
      <c r="AA37" cm="1">
        <f t="array" ref="AA37">[1]!propssi("S","Q",1,"T",AB37,$Z$1)/1000</f>
        <v>1.7817667569664328</v>
      </c>
      <c r="AB37">
        <v>307</v>
      </c>
      <c r="AC37">
        <f t="shared" si="0"/>
        <v>34</v>
      </c>
    </row>
    <row r="38" spans="20:29" x14ac:dyDescent="0.3">
      <c r="T38">
        <v>0.35999999999999899</v>
      </c>
      <c r="U38">
        <v>4.1297306842442199</v>
      </c>
      <c r="W38" cm="1">
        <f t="array" ref="W38">[1]!propssi("S","Q",0,"T",Y38,$W$1)/1000</f>
        <v>1.1443161029590414</v>
      </c>
      <c r="X38" cm="1">
        <f t="array" ref="X38">[1]!propssi("S","Q",1,"T",Y38,$W$1)/1000</f>
        <v>1.7478873681802882</v>
      </c>
      <c r="Y38">
        <v>308</v>
      </c>
      <c r="Z38" cm="1">
        <f t="array" ref="Z38">[1]!propssi("S","Q",0,"T",AB38,$Z$1)/1000</f>
        <v>1.1634666774031601</v>
      </c>
      <c r="AA38" cm="1">
        <f t="array" ref="AA38">[1]!propssi("S","Q",1,"T",AB38,$Z$1)/1000</f>
        <v>1.7827486808716058</v>
      </c>
      <c r="AB38">
        <v>308</v>
      </c>
      <c r="AC38">
        <f t="shared" si="0"/>
        <v>35</v>
      </c>
    </row>
    <row r="39" spans="20:29" x14ac:dyDescent="0.3">
      <c r="T39">
        <v>0.31999999999999901</v>
      </c>
      <c r="U39">
        <v>4.0778604171455504</v>
      </c>
      <c r="W39" cm="1">
        <f t="array" ref="W39">[1]!propssi("S","Q",0,"T",Y39,$W$1)/1000</f>
        <v>1.1483048371542033</v>
      </c>
      <c r="X39" cm="1">
        <f t="array" ref="X39">[1]!propssi("S","Q",1,"T",Y39,$W$1)/1000</f>
        <v>1.7481537542367256</v>
      </c>
      <c r="Y39">
        <v>309</v>
      </c>
      <c r="Z39" cm="1">
        <f t="array" ref="Z39">[1]!propssi("S","Q",0,"T",AB39,$Z$1)/1000</f>
        <v>1.1679928467877141</v>
      </c>
      <c r="AA39" cm="1">
        <f t="array" ref="AA39">[1]!propssi("S","Q",1,"T",AB39,$Z$1)/1000</f>
        <v>1.7837387926424801</v>
      </c>
      <c r="AB39">
        <v>309</v>
      </c>
      <c r="AC39">
        <f t="shared" si="0"/>
        <v>36</v>
      </c>
    </row>
    <row r="40" spans="20:29" x14ac:dyDescent="0.3">
      <c r="T40">
        <v>0.27999999999999903</v>
      </c>
      <c r="U40">
        <v>4.0244242925281597</v>
      </c>
      <c r="W40" cm="1">
        <f t="array" ref="W40">[1]!propssi("S","Q",0,"T",Y40,$W$1)/1000</f>
        <v>1.152286107174415</v>
      </c>
      <c r="X40" cm="1">
        <f t="array" ref="X40">[1]!propssi("S","Q",1,"T",Y40,$W$1)/1000</f>
        <v>1.7484281872509952</v>
      </c>
      <c r="Y40">
        <v>310</v>
      </c>
      <c r="Z40" cm="1">
        <f t="array" ref="Z40">[1]!propssi("S","Q",0,"T",AB40,$Z$1)/1000</f>
        <v>1.1725109416353905</v>
      </c>
      <c r="AA40" cm="1">
        <f t="array" ref="AA40">[1]!propssi("S","Q",1,"T",AB40,$Z$1)/1000</f>
        <v>1.7847368865736433</v>
      </c>
      <c r="AB40">
        <v>310</v>
      </c>
      <c r="AC40">
        <f t="shared" si="0"/>
        <v>37</v>
      </c>
    </row>
    <row r="41" spans="20:29" x14ac:dyDescent="0.3">
      <c r="T41">
        <v>0.23999999999999899</v>
      </c>
      <c r="U41">
        <v>3.9693800130128101</v>
      </c>
      <c r="W41" cm="1">
        <f t="array" ref="W41">[1]!propssi("S","Q",0,"T",Y41,$W$1)/1000</f>
        <v>1.1562599971353227</v>
      </c>
      <c r="X41" cm="1">
        <f t="array" ref="X41">[1]!propssi("S","Q",1,"T",Y41,$W$1)/1000</f>
        <v>1.7487104660856125</v>
      </c>
      <c r="Y41">
        <v>311</v>
      </c>
      <c r="Z41" cm="1">
        <f t="array" ref="Z41">[1]!propssi("S","Q",0,"T",AB41,$Z$1)/1000</f>
        <v>1.1770210447938325</v>
      </c>
      <c r="AA41" cm="1">
        <f t="array" ref="AA41">[1]!propssi("S","Q",1,"T",AB41,$Z$1)/1000</f>
        <v>1.7857427619572492</v>
      </c>
      <c r="AB41">
        <v>311</v>
      </c>
      <c r="AC41">
        <f t="shared" si="0"/>
        <v>38</v>
      </c>
    </row>
    <row r="42" spans="20:29" x14ac:dyDescent="0.3">
      <c r="T42">
        <v>0.19999999999999901</v>
      </c>
      <c r="U42">
        <v>3.91269318873311</v>
      </c>
      <c r="W42" cm="1">
        <f t="array" ref="W42">[1]!propssi("S","Q",0,"T",Y42,$W$1)/1000</f>
        <v>1.1602265912976704</v>
      </c>
      <c r="X42" cm="1">
        <f t="array" ref="X42">[1]!propssi("S","Q",1,"T",Y42,$W$1)/1000</f>
        <v>1.7490003917521753</v>
      </c>
      <c r="Y42">
        <v>312</v>
      </c>
      <c r="Z42" cm="1">
        <f t="array" ref="Z42">[1]!propssi("S","Q",0,"T",AB42,$Z$1)/1000</f>
        <v>1.1815232386117198</v>
      </c>
      <c r="AA42" cm="1">
        <f t="array" ref="AA42">[1]!propssi("S","Q",1,"T",AB42,$Z$1)/1000</f>
        <v>1.7867562230795766</v>
      </c>
      <c r="AB42">
        <v>312</v>
      </c>
      <c r="AC42">
        <f t="shared" si="0"/>
        <v>39</v>
      </c>
    </row>
    <row r="43" spans="20:29" x14ac:dyDescent="0.3">
      <c r="T43">
        <v>0.159999999999999</v>
      </c>
      <c r="U43">
        <v>3.8543412716246501</v>
      </c>
      <c r="W43" cm="1">
        <f t="array" ref="W43">[1]!propssi("S","Q",0,"T",Y43,$W$1)/1000</f>
        <v>1.1641859740890776</v>
      </c>
      <c r="X43" cm="1">
        <f t="array" ref="X43">[1]!propssi("S","Q",1,"T",Y43,$W$1)/1000</f>
        <v>1.749297767318257</v>
      </c>
      <c r="Y43">
        <v>313</v>
      </c>
      <c r="Z43" cm="1">
        <f t="array" ref="Z43">[1]!propssi("S","Q",0,"T",AB43,$Z$1)/1000</f>
        <v>1.1860176049622539</v>
      </c>
      <c r="AA43" cm="1">
        <f t="array" ref="AA43">[1]!propssi("S","Q",1,"T",AB43,$Z$1)/1000</f>
        <v>1.7877770792100005</v>
      </c>
      <c r="AB43">
        <v>313</v>
      </c>
      <c r="AC43">
        <f t="shared" si="0"/>
        <v>40</v>
      </c>
    </row>
    <row r="44" spans="20:29" x14ac:dyDescent="0.3">
      <c r="T44">
        <v>0.119999999999999</v>
      </c>
      <c r="U44">
        <v>3.7943192873944498</v>
      </c>
      <c r="W44" cm="1">
        <f t="array" ref="W44">[1]!propssi("S","Q",0,"T",Y44,$W$1)/1000</f>
        <v>1.1681382301262944</v>
      </c>
      <c r="X44" cm="1">
        <f t="array" ref="X44">[1]!propssi("S","Q",1,"T",Y44,$W$1)/1000</f>
        <v>1.7496023978143871</v>
      </c>
      <c r="Y44">
        <v>314</v>
      </c>
      <c r="Z44" cm="1">
        <f t="array" ref="Z44">[1]!propssi("S","Q",0,"T",AB44,$Z$1)/1000</f>
        <v>1.1905042252665108</v>
      </c>
      <c r="AA44" cm="1">
        <f t="array" ref="AA44">[1]!propssi("S","Q",1,"T",AB44,$Z$1)/1000</f>
        <v>1.7888051445819826</v>
      </c>
      <c r="AB44">
        <v>314</v>
      </c>
      <c r="AC44">
        <f t="shared" si="0"/>
        <v>41</v>
      </c>
    </row>
    <row r="45" spans="20:29" x14ac:dyDescent="0.3">
      <c r="T45">
        <v>7.9999999999999002E-2</v>
      </c>
      <c r="U45">
        <v>3.7326481519029802</v>
      </c>
      <c r="W45" cm="1">
        <f t="array" ref="W45">[1]!propssi("S","Q",0,"T",Y45,$W$1)/1000</f>
        <v>1.1720834442379842</v>
      </c>
      <c r="X45" cm="1">
        <f t="array" ref="X45">[1]!propssi("S","Q",1,"T",Y45,$W$1)/1000</f>
        <v>1.7499140901411592</v>
      </c>
      <c r="Y45">
        <v>315</v>
      </c>
      <c r="Z45" cm="1">
        <f t="array" ref="Z45">[1]!propssi("S","Q",0,"T",AB45,$Z$1)/1000</f>
        <v>1.1949831805166804</v>
      </c>
      <c r="AA45" cm="1">
        <f t="array" ref="AA45">[1]!propssi("S","Q",1,"T",AB45,$Z$1)/1000</f>
        <v>1.7898402383659384</v>
      </c>
      <c r="AB45">
        <v>315</v>
      </c>
      <c r="AC45">
        <f t="shared" si="0"/>
        <v>42</v>
      </c>
    </row>
    <row r="46" spans="20:29" x14ac:dyDescent="0.3">
      <c r="T46">
        <v>3.9999999999999002E-2</v>
      </c>
      <c r="U46">
        <v>7.5834404722159604E-2</v>
      </c>
      <c r="W46" cm="1">
        <f t="array" ref="W46">[1]!propssi("S","Q",0,"T",Y46,$W$1)/1000</f>
        <v>1.1760217014880414</v>
      </c>
      <c r="X46" cm="1">
        <f t="array" ref="X46">[1]!propssi("S","Q",1,"T",Y46,$W$1)/1000</f>
        <v>1.7502326529763415</v>
      </c>
      <c r="Y46">
        <v>316</v>
      </c>
      <c r="Z46" cm="1">
        <f t="array" ref="Z46">[1]!propssi("S","Q",0,"T",AB46,$Z$1)/1000</f>
        <v>1.1994545512992503</v>
      </c>
      <c r="AA46" cm="1">
        <f t="array" ref="AA46">[1]!propssi("S","Q",1,"T",AB46,$Z$1)/1000</f>
        <v>1.7908821846337262</v>
      </c>
      <c r="AB46">
        <v>316</v>
      </c>
      <c r="AC46">
        <f t="shared" si="0"/>
        <v>43</v>
      </c>
    </row>
    <row r="47" spans="20:29" x14ac:dyDescent="0.3">
      <c r="T47">
        <v>0</v>
      </c>
      <c r="U47">
        <v>3.6046402510079401</v>
      </c>
      <c r="W47" cm="1">
        <f t="array" ref="W47">[1]!propssi("S","Q",0,"T",Y47,$W$1)/1000</f>
        <v>1.1799530871994934</v>
      </c>
      <c r="X47" cm="1">
        <f t="array" ref="X47">[1]!propssi("S","Q",1,"T",Y47,$W$1)/1000</f>
        <v>1.7505578966820232</v>
      </c>
      <c r="Y47">
        <v>317</v>
      </c>
      <c r="Z47" cm="1">
        <f t="array" ref="Z47">[1]!propssi("S","Q",0,"T",AB47,$Z$1)/1000</f>
        <v>1.2039184178180606</v>
      </c>
      <c r="AA47" cm="1">
        <f t="array" ref="AA47">[1]!propssi("S","Q",1,"T",AB47,$Z$1)/1000</f>
        <v>1.7919308123146058</v>
      </c>
      <c r="AB47">
        <v>317</v>
      </c>
      <c r="AC47">
        <f t="shared" si="0"/>
        <v>44</v>
      </c>
    </row>
    <row r="48" spans="20:29" x14ac:dyDescent="0.3">
      <c r="W48" cm="1">
        <f t="array" ref="W48">[1]!propssi("S","Q",0,"T",Y48,$W$1)/1000</f>
        <v>1.1838776869789995</v>
      </c>
      <c r="X48" cm="1">
        <f t="array" ref="X48">[1]!propssi("S","Q",1,"T",Y48,$W$1)/1000</f>
        <v>1.7508896332116617</v>
      </c>
      <c r="Y48">
        <v>318</v>
      </c>
      <c r="Z48" cm="1">
        <f t="array" ref="Z48">[1]!propssi("S","Q",0,"T",AB48,$Z$1)/1000</f>
        <v>1.2083748599173161</v>
      </c>
      <c r="AA48" cm="1">
        <f t="array" ref="AA48">[1]!propssi("S","Q",1,"T",AB48,$Z$1)/1000</f>
        <v>1.7929859551425702</v>
      </c>
      <c r="AB48">
        <v>318</v>
      </c>
      <c r="AC48">
        <f t="shared" si="0"/>
        <v>45</v>
      </c>
    </row>
    <row r="49" spans="23:29" x14ac:dyDescent="0.3">
      <c r="W49" cm="1">
        <f t="array" ref="W49">[1]!propssi("S","Q",0,"T",Y49,$W$1)/1000</f>
        <v>1.1877955867420156</v>
      </c>
      <c r="X49" cm="1">
        <f t="array" ref="X49">[1]!propssi("S","Q",1,"T",Y49,$W$1)/1000</f>
        <v>1.751227676017058</v>
      </c>
      <c r="Y49">
        <v>319</v>
      </c>
      <c r="Z49" cm="1">
        <f t="array" ref="Z49">[1]!propssi("S","Q",0,"T",AB49,$Z$1)/1000</f>
        <v>1.2128239571044637</v>
      </c>
      <c r="AA49" cm="1">
        <f t="array" ref="AA49">[1]!propssi("S","Q",1,"T",AB49,$Z$1)/1000</f>
        <v>1.7940474515949405</v>
      </c>
      <c r="AB49">
        <v>319</v>
      </c>
      <c r="AC49">
        <f t="shared" si="0"/>
        <v>46</v>
      </c>
    </row>
    <row r="50" spans="23:29" x14ac:dyDescent="0.3">
      <c r="W50" cm="1">
        <f t="array" ref="W50">[1]!propssi("S","Q",0,"T",Y50,$W$1)/1000</f>
        <v>1.1917068727386215</v>
      </c>
      <c r="X50" cm="1">
        <f t="array" ref="X50">[1]!propssi("S","Q",1,"T",Y50,$W$1)/1000</f>
        <v>1.7515718399551308</v>
      </c>
      <c r="Y50">
        <v>320</v>
      </c>
      <c r="Z50" cm="1">
        <f t="array" ref="Z50">[1]!propssi("S","Q",0,"T",AB50,$Z$1)/1000</f>
        <v>1.2172657885730682</v>
      </c>
      <c r="AA50" cm="1">
        <f t="array" ref="AA50">[1]!propssi("S","Q",1,"T",AB50,$Z$1)/1000</f>
        <v>1.7951151448221967</v>
      </c>
      <c r="AB50">
        <v>320</v>
      </c>
      <c r="AC50">
        <f t="shared" si="0"/>
        <v>47</v>
      </c>
    </row>
    <row r="51" spans="23:29" x14ac:dyDescent="0.3">
      <c r="W51" cm="1">
        <f t="array" ref="W51">[1]!propssi("S","Q",0,"T",Y51,$W$1)/1000</f>
        <v>1.1956116315800682</v>
      </c>
      <c r="X51" cm="1">
        <f t="array" ref="X51">[1]!propssi("S","Q",1,"T",Y51,$W$1)/1000</f>
        <v>1.7519219411944811</v>
      </c>
      <c r="Y51">
        <v>321</v>
      </c>
      <c r="Z51" cm="1">
        <f t="array" ref="Z51">[1]!propssi("S","Q",0,"T",AB51,$Z$1)/1000</f>
        <v>1.2217004332255654</v>
      </c>
      <c r="AA51" cm="1">
        <f t="array" ref="AA51">[1]!propssi("S","Q",1,"T",AB51,$Z$1)/1000</f>
        <v>1.7961888825690377</v>
      </c>
      <c r="AB51">
        <v>321</v>
      </c>
      <c r="AC51">
        <f t="shared" si="0"/>
        <v>48</v>
      </c>
    </row>
    <row r="52" spans="23:29" x14ac:dyDescent="0.3">
      <c r="W52" cm="1">
        <f t="array" ref="W52">[1]!propssi("S","Q",0,"T",Y52,$W$1)/1000</f>
        <v>1.1995099502660949</v>
      </c>
      <c r="X52" cm="1">
        <f t="array" ref="X52">[1]!propssi("S","Q",1,"T",Y52,$W$1)/1000</f>
        <v>1.7522777971216472</v>
      </c>
      <c r="Y52">
        <v>322</v>
      </c>
      <c r="Z52" cm="1">
        <f t="array" ref="Z52">[1]!propssi("S","Q",0,"T",AB52,$Z$1)/1000</f>
        <v>1.2261279696960081</v>
      </c>
      <c r="AA52" cm="1">
        <f t="array" ref="AA52">[1]!propssi("S","Q",1,"T",AB52,$Z$1)/1000</f>
        <v>1.7972685170867284</v>
      </c>
      <c r="AB52">
        <v>322</v>
      </c>
      <c r="AC52">
        <f t="shared" si="0"/>
        <v>49</v>
      </c>
    </row>
    <row r="53" spans="23:29" x14ac:dyDescent="0.3">
      <c r="W53" cm="1">
        <f t="array" ref="W53">[1]!propssi("S","Q",0,"T",Y53,$W$1)/1000</f>
        <v>1.2034019162130283</v>
      </c>
      <c r="X53" cm="1">
        <f t="array" ref="X53">[1]!propssi("S","Q",1,"T",Y53,$W$1)/1000</f>
        <v>1.7526392262470065</v>
      </c>
      <c r="Y53">
        <v>323</v>
      </c>
      <c r="Z53" cm="1">
        <f t="array" ref="Z53">[1]!propssi("S","Q",0,"T",AB53,$Z$1)/1000</f>
        <v>1.2305484763727317</v>
      </c>
      <c r="AA53" cm="1">
        <f t="array" ref="AA53">[1]!propssi("S","Q",1,"T",AB53,$Z$1)/1000</f>
        <v>1.7983539050367732</v>
      </c>
      <c r="AB53">
        <v>323</v>
      </c>
      <c r="AC53">
        <f t="shared" si="0"/>
        <v>50</v>
      </c>
    </row>
    <row r="54" spans="23:29" x14ac:dyDescent="0.3">
      <c r="W54" cm="1">
        <f t="array" ref="W54">[1]!propssi("S","Q",0,"T",Y54,$W$1)/1000</f>
        <v>1.2072876172827212</v>
      </c>
      <c r="X54" cm="1">
        <f t="array" ref="X54">[1]!propssi("S","Q",1,"T",Y54,$W$1)/1000</f>
        <v>1.7530060481102161</v>
      </c>
      <c r="Y54">
        <v>324</v>
      </c>
      <c r="Z54" cm="1">
        <f t="array" ref="Z54">[1]!propssi("S","Q",0,"T",AB54,$Z$1)/1000</f>
        <v>1.2349620314210044</v>
      </c>
      <c r="AA54" cm="1">
        <f t="array" ref="AA54">[1]!propssi("S","Q",1,"T",AB54,$Z$1)/1000</f>
        <v>1.7994449073860488</v>
      </c>
      <c r="AB54">
        <v>324</v>
      </c>
      <c r="AC54">
        <f t="shared" si="0"/>
        <v>51</v>
      </c>
    </row>
    <row r="55" spans="23:29" x14ac:dyDescent="0.3">
      <c r="W55" cm="1">
        <f t="array" ref="W55">[1]!propssi("S","Q",0,"T",Y55,$W$1)/1000</f>
        <v>1.2111671418124004</v>
      </c>
      <c r="X55" cm="1">
        <f t="array" ref="X55">[1]!propssi("S","Q",1,"T",Y55,$W$1)/1000</f>
        <v>1.7533780831851655</v>
      </c>
      <c r="Y55">
        <v>325</v>
      </c>
      <c r="Z55" cm="1">
        <f t="array" ref="Z55">[1]!propssi("S","Q",0,"T",AB55,$Z$1)/1000</f>
        <v>1.2393687128056783</v>
      </c>
      <c r="AA55" cm="1">
        <f t="array" ref="AA55">[1]!propssi("S","Q",1,"T",AB55,$Z$1)/1000</f>
        <v>1.8005413892935616</v>
      </c>
      <c r="AB55">
        <v>325</v>
      </c>
      <c r="AC55">
        <f t="shared" si="0"/>
        <v>52</v>
      </c>
    </row>
    <row r="56" spans="23:29" x14ac:dyDescent="0.3">
      <c r="W56" cm="1">
        <f t="array" ref="W56">[1]!propssi("S","Q",0,"T",Y56,$W$1)/1000</f>
        <v>1.2150405786454082</v>
      </c>
      <c r="X56" cm="1">
        <f t="array" ref="X56">[1]!propssi("S","Q",1,"T",Y56,$W$1)/1000</f>
        <v>1.7537551527843021</v>
      </c>
      <c r="Y56">
        <v>326</v>
      </c>
      <c r="Z56" cm="1">
        <f t="array" ref="Z56">[1]!propssi("S","Q",0,"T",AB56,$Z$1)/1000</f>
        <v>1.2437685983137827</v>
      </c>
      <c r="AA56" cm="1">
        <f t="array" ref="AA56">[1]!propssi("S","Q",1,"T",AB56,$Z$1)/1000</f>
        <v>1.8016432199889745</v>
      </c>
      <c r="AB56">
        <v>326</v>
      </c>
      <c r="AC56">
        <f t="shared" si="0"/>
        <v>53</v>
      </c>
    </row>
    <row r="57" spans="23:29" x14ac:dyDescent="0.3">
      <c r="W57" cm="1">
        <f t="array" ref="W57">[1]!propssi("S","Q",0,"T",Y57,$W$1)/1000</f>
        <v>1.2189080171629554</v>
      </c>
      <c r="X57" cm="1">
        <f t="array" ref="X57">[1]!propssi("S","Q",1,"T",Y57,$W$1)/1000</f>
        <v>1.7541370789622843</v>
      </c>
      <c r="Y57">
        <v>327</v>
      </c>
      <c r="Z57" cm="1">
        <f t="array" ref="Z57">[1]!propssi("S","Q",0,"T",AB57,$Z$1)/1000</f>
        <v>1.2481617655771764</v>
      </c>
      <c r="AA57" cm="1">
        <f t="array" ref="AA57">[1]!propssi("S","Q",1,"T",AB57,$Z$1)/1000</f>
        <v>1.8027502726431532</v>
      </c>
      <c r="AB57">
        <v>327</v>
      </c>
      <c r="AC57">
        <f t="shared" si="0"/>
        <v>54</v>
      </c>
    </row>
    <row r="58" spans="23:29" x14ac:dyDescent="0.3">
      <c r="W58" cm="1">
        <f t="array" ref="W58">[1]!propssi("S","Q",0,"T",Y58,$W$1)/1000</f>
        <v>1.2227695473168991</v>
      </c>
      <c r="X58" cm="1">
        <f t="array" ref="X58">[1]!propssi("S","Q",1,"T",Y58,$W$1)/1000</f>
        <v>1.7545236844188457</v>
      </c>
      <c r="Y58">
        <v>328</v>
      </c>
      <c r="Z58" cm="1">
        <f t="array" ref="Z58">[1]!propssi("S","Q",0,"T",AB58,$Z$1)/1000</f>
        <v>1.2525482920951849</v>
      </c>
      <c r="AA58" cm="1">
        <f t="array" ref="AA58">[1]!propssi("S","Q",1,"T",AB58,$Z$1)/1000</f>
        <v>1.8038624242309336</v>
      </c>
      <c r="AB58">
        <v>328</v>
      </c>
      <c r="AC58">
        <f t="shared" si="0"/>
        <v>55</v>
      </c>
    </row>
    <row r="59" spans="23:29" x14ac:dyDescent="0.3">
      <c r="W59" cm="1">
        <f t="array" ref="W59">[1]!propssi("S","Q",0,"T",Y59,$W$1)/1000</f>
        <v>1.2266252596635954</v>
      </c>
      <c r="X59" cm="1">
        <f t="array" ref="X59">[1]!propssi("S","Q",1,"T",Y59,$W$1)/1000</f>
        <v>1.7549147924007877</v>
      </c>
      <c r="Y59">
        <v>329</v>
      </c>
      <c r="Z59" cm="1">
        <f t="array" ref="Z59">[1]!propssi("S","Q",0,"T",AB59,$Z$1)/1000</f>
        <v>1.2569282552572929</v>
      </c>
      <c r="AA59" cm="1">
        <f t="array" ref="AA59">[1]!propssi("S","Q",1,"T",AB59,$Z$1)/1000</f>
        <v>1.8049795553864534</v>
      </c>
      <c r="AB59">
        <v>329</v>
      </c>
      <c r="AC59">
        <f t="shared" si="0"/>
        <v>56</v>
      </c>
    </row>
    <row r="60" spans="23:29" x14ac:dyDescent="0.3">
      <c r="W60" cm="1">
        <f t="array" ref="W60">[1]!propssi("S","Q",0,"T",Y60,$W$1)/1000</f>
        <v>1.2304752453989167</v>
      </c>
      <c r="X60" cm="1">
        <f t="array" ref="X60">[1]!propssi("S","Q",1,"T",Y60,$W$1)/1000</f>
        <v>1.7553102266029692</v>
      </c>
      <c r="Y60">
        <v>330</v>
      </c>
      <c r="Z60" cm="1">
        <f t="array" ref="Z60">[1]!propssi("S","Q",0,"T",AB60,$Z$1)/1000</f>
        <v>1.2613017323659015</v>
      </c>
      <c r="AA60" cm="1">
        <f t="array" ref="AA60">[1]!propssi("S","Q",1,"T",AB60,$Z$1)/1000</f>
        <v>1.8061015502512816</v>
      </c>
      <c r="AB60">
        <v>330</v>
      </c>
      <c r="AC60">
        <f t="shared" si="0"/>
        <v>57</v>
      </c>
    </row>
    <row r="61" spans="23:29" x14ac:dyDescent="0.3">
      <c r="W61" cm="1">
        <f t="array" ref="W61">[1]!propssi("S","Q",0,"T",Y61,$W$1)/1000</f>
        <v>1.2343195963944575</v>
      </c>
      <c r="X61" cm="1">
        <f t="array" ref="X61">[1]!propssi("S","Q",1,"T",Y61,$W$1)/1000</f>
        <v>1.7557098110682272</v>
      </c>
      <c r="Y61">
        <v>331</v>
      </c>
      <c r="Z61" cm="1">
        <f t="array" ref="Z61">[1]!propssi("S","Q",0,"T",AB61,$Z$1)/1000</f>
        <v>1.2656688006591361</v>
      </c>
      <c r="AA61" cm="1">
        <f t="array" ref="AA61">[1]!propssi("S","Q",1,"T",AB61,$Z$1)/1000</f>
        <v>1.8072282963157174</v>
      </c>
      <c r="AB61">
        <v>331</v>
      </c>
      <c r="AC61">
        <f t="shared" si="0"/>
        <v>58</v>
      </c>
    </row>
    <row r="62" spans="23:29" x14ac:dyDescent="0.3">
      <c r="W62" cm="1">
        <f t="array" ref="W62">[1]!propssi("S","Q",0,"T",Y62,$W$1)/1000</f>
        <v>1.2381584052350196</v>
      </c>
      <c r="X62" cm="1">
        <f t="array" ref="X62">[1]!propssi("S","Q",1,"T",Y62,$W$1)/1000</f>
        <v>1.7561133700860598</v>
      </c>
      <c r="Y62">
        <v>332</v>
      </c>
      <c r="Z62" cm="1">
        <f t="array" ref="Z62">[1]!propssi("S","Q",0,"T",AB62,$Z$1)/1000</f>
        <v>1.2700295373337709</v>
      </c>
      <c r="AA62" cm="1">
        <f t="array" ref="AA62">[1]!propssi("S","Q",1,"T",AB62,$Z$1)/1000</f>
        <v>1.8083596842535776</v>
      </c>
      <c r="AB62">
        <v>332</v>
      </c>
      <c r="AC62">
        <f t="shared" si="0"/>
        <v>59</v>
      </c>
    </row>
    <row r="63" spans="23:29" x14ac:dyDescent="0.3">
      <c r="W63" cm="1">
        <f t="array" ref="W63">[1]!propssi("S","Q",0,"T",Y63,$W$1)/1000</f>
        <v>1.2419917652574359</v>
      </c>
      <c r="X63" cm="1">
        <f t="array" ref="X63">[1]!propssi("S","Q",1,"T",Y63,$W$1)/1000</f>
        <v>1.7565207280899944</v>
      </c>
      <c r="Y63">
        <v>333</v>
      </c>
      <c r="Z63" cm="1">
        <f t="array" ref="Z63">[1]!propssi("S","Q",0,"T",AB63,$Z$1)/1000</f>
        <v>1.2743840195682636</v>
      </c>
      <c r="AA63" cm="1">
        <f t="array" ref="AA63">[1]!propssi("S","Q",1,"T",AB63,$Z$1)/1000</f>
        <v>1.8094956077508766</v>
      </c>
      <c r="AB63">
        <v>333</v>
      </c>
      <c r="AC63">
        <f t="shared" si="0"/>
        <v>60</v>
      </c>
    </row>
    <row r="64" spans="23:29" x14ac:dyDescent="0.3">
      <c r="W64" cm="1">
        <f t="array" ref="W64">[1]!propssi("S","Q",0,"T",Y64,$W$1)/1000</f>
        <v>1.2458197705907987</v>
      </c>
      <c r="X64" cm="1">
        <f t="array" ref="X64">[1]!propssi("S","Q",1,"T",Y64,$W$1)/1000</f>
        <v>1.75693170955347</v>
      </c>
      <c r="Y64">
        <v>334</v>
      </c>
      <c r="Z64" cm="1">
        <f t="array" ref="Z64">[1]!propssi("S","Q",0,"T",AB64,$Z$1)/1000</f>
        <v>1.2787323245459428</v>
      </c>
      <c r="AA64" cm="1">
        <f t="array" ref="AA64">[1]!propssi("S","Q",1,"T",AB64,$Z$1)/1000</f>
        <v>1.8106359633287674</v>
      </c>
      <c r="AB64">
        <v>334</v>
      </c>
      <c r="AC64">
        <f t="shared" si="0"/>
        <v>61</v>
      </c>
    </row>
    <row r="65" spans="23:29" x14ac:dyDescent="0.3">
      <c r="W65" cm="1">
        <f t="array" ref="W65">[1]!propssi("S","Q",0,"T",Y65,$W$1)/1000</f>
        <v>1.2496425161981703</v>
      </c>
      <c r="X65" cm="1">
        <f t="array" ref="X65">[1]!propssi("S","Q",1,"T",Y65,$W$1)/1000</f>
        <v>1.7573461388841234</v>
      </c>
      <c r="Y65">
        <v>335</v>
      </c>
      <c r="Z65" cm="1">
        <f t="array" ref="Z65">[1]!propssi("S","Q",0,"T",AB65,$Z$1)/1000</f>
        <v>1.2830745294783448</v>
      </c>
      <c r="AA65" cm="1">
        <f t="array" ref="AA65">[1]!propssi("S","Q",1,"T",AB65,$Z$1)/1000</f>
        <v>1.8117806501611151</v>
      </c>
      <c r="AB65">
        <v>335</v>
      </c>
      <c r="AC65">
        <f t="shared" si="0"/>
        <v>62</v>
      </c>
    </row>
    <row r="66" spans="23:29" x14ac:dyDescent="0.3">
      <c r="W66" cm="1">
        <f t="array" ref="W66">[1]!propssi("S","Q",0,"T",Y66,$W$1)/1000</f>
        <v>1.253460097919872</v>
      </c>
      <c r="X66" cm="1">
        <f t="array" ref="X66">[1]!propssi("S","Q",1,"T",Y66,$W$1)/1000</f>
        <v>1.7577638403163134</v>
      </c>
      <c r="Y66">
        <v>336</v>
      </c>
      <c r="Z66" cm="1">
        <f t="array" ref="Z66">[1]!propssi("S","Q",0,"T",AB66,$Z$1)/1000</f>
        <v>1.287410711628737</v>
      </c>
      <c r="AA66" cm="1">
        <f t="array" ref="AA66">[1]!propssi("S","Q",1,"T",AB66,$Z$1)/1000</f>
        <v>1.8129295698872394</v>
      </c>
      <c r="AB66">
        <v>336</v>
      </c>
      <c r="AC66">
        <f t="shared" si="0"/>
        <v>63</v>
      </c>
    </row>
    <row r="67" spans="23:29" x14ac:dyDescent="0.3">
      <c r="W67" cm="1">
        <f t="array" ref="W67">[1]!propssi("S","Q",0,"T",Y67,$W$1)/1000</f>
        <v>1.2572726125184119</v>
      </c>
      <c r="X67" cm="1">
        <f t="array" ref="X67">[1]!propssi("S","Q",1,"T",Y67,$W$1)/1000</f>
        <v>1.7581846378017356</v>
      </c>
      <c r="Y67">
        <v>337</v>
      </c>
      <c r="Z67" cm="1">
        <f t="array" ref="Z67">[1]!propssi("S","Q",0,"T",AB67,$Z$1)/1000</f>
        <v>1.2917409483359055</v>
      </c>
      <c r="AA67" cm="1">
        <f t="array" ref="AA67">[1]!propssi("S","Q",1,"T",AB67,$Z$1)/1000</f>
        <v>1.8140826264200662</v>
      </c>
      <c r="AB67">
        <v>337</v>
      </c>
      <c r="AC67">
        <f t="shared" si="0"/>
        <v>64</v>
      </c>
    </row>
    <row r="68" spans="23:29" x14ac:dyDescent="0.3">
      <c r="W68" cm="1">
        <f t="array" ref="W68">[1]!propssi("S","Q",0,"T",Y68,$W$1)/1000</f>
        <v>1.2610801577251685</v>
      </c>
      <c r="X68" cm="1">
        <f t="array" ref="X68">[1]!propssi("S","Q",1,"T",Y68,$W$1)/1000</f>
        <v>1.7586083548979556</v>
      </c>
      <c r="Y68">
        <v>338</v>
      </c>
      <c r="Z68" cm="1">
        <f t="array" ref="Z68">[1]!propssi("S","Q",0,"T",AB68,$Z$1)/1000</f>
        <v>1.2960653170381302</v>
      </c>
      <c r="AA68" cm="1">
        <f t="array" ref="AA68">[1]!propssi("S","Q",1,"T",AB68,$Z$1)/1000</f>
        <v>1.8152397257503052</v>
      </c>
      <c r="AB68">
        <v>338</v>
      </c>
      <c r="AC68">
        <f t="shared" ref="AC68:AC131" si="1">AB68-273</f>
        <v>65</v>
      </c>
    </row>
    <row r="69" spans="23:29" x14ac:dyDescent="0.3">
      <c r="W69" cm="1">
        <f t="array" ref="W69">[1]!propssi("S","Q",0,"T",Y69,$W$1)/1000</f>
        <v>1.2648828322888912</v>
      </c>
      <c r="X69" cm="1">
        <f t="array" ref="X69">[1]!propssi("S","Q",1,"T",Y69,$W$1)/1000</f>
        <v>1.7590348146546844</v>
      </c>
      <c r="Y69">
        <v>339</v>
      </c>
      <c r="Z69" cm="1">
        <f t="array" ref="Z69">[1]!propssi("S","Q",0,"T",AB69,$Z$1)/1000</f>
        <v>1.3003838952975042</v>
      </c>
      <c r="AA69" cm="1">
        <f t="array" ref="AA69">[1]!propssi("S","Q",1,"T",AB69,$Z$1)/1000</f>
        <v>1.8164007757469809</v>
      </c>
      <c r="AB69">
        <v>339</v>
      </c>
      <c r="AC69">
        <f t="shared" si="1"/>
        <v>66</v>
      </c>
    </row>
    <row r="70" spans="23:29" x14ac:dyDescent="0.3">
      <c r="W70" cm="1">
        <f t="array" ref="W70">[1]!propssi("S","Q",0,"T",Y70,$W$1)/1000</f>
        <v>1.2686807360261754</v>
      </c>
      <c r="X70" cm="1">
        <f t="array" ref="X70">[1]!propssi("S","Q",1,"T",Y70,$W$1)/1000</f>
        <v>1.7594638394976234</v>
      </c>
      <c r="Y70">
        <v>340</v>
      </c>
      <c r="Z70" cm="1">
        <f t="array" ref="Z70">[1]!propssi("S","Q",0,"T",AB70,$Z$1)/1000</f>
        <v>1.3046967608245132</v>
      </c>
      <c r="AA70" cm="1">
        <f t="array" ref="AA70">[1]!propssi("S","Q",1,"T",AB70,$Z$1)/1000</f>
        <v>1.8175656859548082</v>
      </c>
      <c r="AB70">
        <v>340</v>
      </c>
      <c r="AC70">
        <f t="shared" si="1"/>
        <v>67</v>
      </c>
    </row>
    <row r="71" spans="23:29" x14ac:dyDescent="0.3">
      <c r="W71" cm="1">
        <f t="array" ref="W71">[1]!propssi("S","Q",0,"T",Y71,$W$1)/1000</f>
        <v>1.2724739698739582</v>
      </c>
      <c r="X71" cm="1">
        <f t="array" ref="X71">[1]!propssi("S","Q",1,"T",Y71,$W$1)/1000</f>
        <v>1.7598952511096366</v>
      </c>
      <c r="Y71">
        <v>341</v>
      </c>
      <c r="Z71" cm="1">
        <f t="array" ref="Z71">[1]!propssi("S","Q",0,"T",AB71,$Z$1)/1000</f>
        <v>1.3090039915029932</v>
      </c>
      <c r="AA71" cm="1">
        <f t="array" ref="AA71">[1]!propssi("S","Q",1,"T",AB71,$Z$1)/1000</f>
        <v>1.8187343673888607</v>
      </c>
      <c r="AB71">
        <v>341</v>
      </c>
      <c r="AC71">
        <f t="shared" si="1"/>
        <v>68</v>
      </c>
    </row>
    <row r="72" spans="23:29" x14ac:dyDescent="0.3">
      <c r="W72" cm="1">
        <f t="array" ref="W72">[1]!propssi("S","Q",0,"T",Y72,$W$1)/1000</f>
        <v>1.276262635944196</v>
      </c>
      <c r="X72" cm="1">
        <f t="array" ref="X72">[1]!propssi("S","Q",1,"T",Y72,$W$1)/1000</f>
        <v>1.7603288703090998</v>
      </c>
      <c r="Y72">
        <v>342</v>
      </c>
      <c r="Z72" cm="1">
        <f t="array" ref="Z72">[1]!propssi("S","Q",0,"T",AB72,$Z$1)/1000</f>
        <v>1.3133056654154707</v>
      </c>
      <c r="AA72" cm="1">
        <f t="array" ref="AA72">[1]!propssi("S","Q",1,"T",AB72,$Z$1)/1000</f>
        <v>1.8199067323269305</v>
      </c>
      <c r="AB72">
        <v>342</v>
      </c>
      <c r="AC72">
        <f t="shared" si="1"/>
        <v>69</v>
      </c>
    </row>
    <row r="73" spans="23:29" x14ac:dyDescent="0.3">
      <c r="W73" cm="1">
        <f t="array" ref="W73">[1]!propssi("S","Q",0,"T",Y73,$W$1)/1000</f>
        <v>1.2800468375808449</v>
      </c>
      <c r="X73" cm="1">
        <f t="array" ref="X73">[1]!propssi("S","Q",1,"T",Y73,$W$1)/1000</f>
        <v>1.7607645169251565</v>
      </c>
      <c r="Y73">
        <v>343</v>
      </c>
      <c r="Z73" cm="1">
        <f t="array" ref="Z73">[1]!propssi("S","Q",0,"T",AB73,$Z$1)/1000</f>
        <v>1.317601860868918</v>
      </c>
      <c r="AA73" cm="1">
        <f t="array" ref="AA73">[1]!propssi("S","Q",1,"T",AB73,$Z$1)/1000</f>
        <v>1.8210826941000762</v>
      </c>
      <c r="AB73">
        <v>343</v>
      </c>
      <c r="AC73">
        <f t="shared" si="1"/>
        <v>70</v>
      </c>
    </row>
    <row r="74" spans="23:29" x14ac:dyDescent="0.3">
      <c r="W74" cm="1">
        <f t="array" ref="W74">[1]!propssi("S","Q",0,"T",Y74,$W$1)/1000</f>
        <v>1.2838266794192421</v>
      </c>
      <c r="X74" cm="1">
        <f t="array" ref="X74">[1]!propssi("S","Q",1,"T",Y74,$W$1)/1000</f>
        <v>1.7612020096696366</v>
      </c>
      <c r="Y74">
        <v>344</v>
      </c>
      <c r="Z74" cm="1">
        <f t="array" ref="Z74">[1]!propssi("S","Q",0,"T",AB74,$Z$1)/1000</f>
        <v>1.3218926564209863</v>
      </c>
      <c r="AA74" cm="1">
        <f t="array" ref="AA74">[1]!propssi("S","Q",1,"T",AB74,$Z$1)/1000</f>
        <v>1.8222621668817467</v>
      </c>
      <c r="AB74">
        <v>344</v>
      </c>
      <c r="AC74">
        <f t="shared" si="1"/>
        <v>71</v>
      </c>
    </row>
    <row r="75" spans="23:29" x14ac:dyDescent="0.3">
      <c r="W75" cm="1">
        <f t="array" ref="W75">[1]!propssi("S","Q",0,"T",Y75,$W$1)/1000</f>
        <v>1.2876022674480709</v>
      </c>
      <c r="X75" cm="1">
        <f t="array" ref="X75">[1]!propssi("S","Q",1,"T",Y75,$W$1)/1000</f>
        <v>1.7616411660054216</v>
      </c>
      <c r="Y75">
        <v>345</v>
      </c>
      <c r="Z75" cm="1">
        <f t="array" ref="Z75">[1]!propssi("S","Q",0,"T",AB75,$Z$1)/1000</f>
        <v>1.3261781309067229</v>
      </c>
      <c r="AA75" cm="1">
        <f t="array" ref="AA75">[1]!propssi("S","Q",1,"T",AB75,$Z$1)/1000</f>
        <v>1.8234450654759027</v>
      </c>
      <c r="AB75">
        <v>345</v>
      </c>
      <c r="AC75">
        <f t="shared" si="1"/>
        <v>72</v>
      </c>
    </row>
    <row r="76" spans="23:29" x14ac:dyDescent="0.3">
      <c r="W76" cm="1">
        <f t="array" ref="W76">[1]!propssi("S","Q",0,"T",Y76,$W$1)/1000</f>
        <v>1.2913737090740509</v>
      </c>
      <c r="X76" cm="1">
        <f t="array" ref="X76">[1]!propssi("S","Q",1,"T",Y76,$W$1)/1000</f>
        <v>1.7620818020109525</v>
      </c>
      <c r="Y76">
        <v>346</v>
      </c>
      <c r="Z76" cm="1">
        <f t="array" ref="Z76">[1]!propssi("S","Q",0,"T",AB76,$Z$1)/1000</f>
        <v>1.3304583634658542</v>
      </c>
      <c r="AA76" cm="1">
        <f t="array" ref="AA76">[1]!propssi("S","Q",1,"T",AB76,$Z$1)/1000</f>
        <v>1.8246313051046263</v>
      </c>
      <c r="AB76">
        <v>346</v>
      </c>
      <c r="AC76">
        <f t="shared" si="1"/>
        <v>73</v>
      </c>
    </row>
    <row r="77" spans="23:29" x14ac:dyDescent="0.3">
      <c r="W77" cm="1">
        <f t="array" ref="W77">[1]!propssi("S","Q",0,"T",Y77,$W$1)/1000</f>
        <v>1.295141113189485</v>
      </c>
      <c r="X77" cm="1">
        <f t="array" ref="X77">[1]!propssi("S","Q",1,"T",Y77,$W$1)/1000</f>
        <v>1.7625237322405878</v>
      </c>
      <c r="Y77">
        <v>347</v>
      </c>
      <c r="Z77" cm="1">
        <f t="array" ref="Z77">[1]!propssi("S","Q",0,"T",AB77,$Z$1)/1000</f>
        <v>1.334733433570684</v>
      </c>
      <c r="AA77" cm="1">
        <f t="array" ref="AA77">[1]!propssi("S","Q",1,"T",AB77,$Z$1)/1000</f>
        <v>1.8258208011954069</v>
      </c>
      <c r="AB77">
        <v>347</v>
      </c>
      <c r="AC77">
        <f t="shared" si="1"/>
        <v>74</v>
      </c>
    </row>
    <row r="78" spans="23:29" x14ac:dyDescent="0.3">
      <c r="W78" cm="1">
        <f t="array" ref="W78">[1]!propssi("S","Q",0,"T",Y78,$W$1)/1000</f>
        <v>1.2989045902428917</v>
      </c>
      <c r="X78" cm="1">
        <f t="array" ref="X78">[1]!propssi("S","Q",1,"T",Y78,$W$1)/1000</f>
        <v>1.7629667695805267</v>
      </c>
      <c r="Y78">
        <v>348</v>
      </c>
      <c r="Z78" cm="1">
        <f t="array" ref="Z78">[1]!propssi("S","Q",0,"T",AB78,$Z$1)/1000</f>
        <v>1.3390034210546007</v>
      </c>
      <c r="AA78" cm="1">
        <f t="array" ref="AA78">[1]!propssi("S","Q",1,"T",AB78,$Z$1)/1000</f>
        <v>1.8270134691687867</v>
      </c>
      <c r="AB78">
        <v>348</v>
      </c>
      <c r="AC78">
        <f t="shared" si="1"/>
        <v>75</v>
      </c>
    </row>
    <row r="79" spans="23:29" x14ac:dyDescent="0.3">
      <c r="W79" cm="1">
        <f t="array" ref="W79">[1]!propssi("S","Q",0,"T",Y79,$W$1)/1000</f>
        <v>1.3026642523128524</v>
      </c>
      <c r="X79" cm="1">
        <f t="array" ref="X79">[1]!propssi("S","Q",1,"T",Y79,$W$1)/1000</f>
        <v>1.7634107250999391</v>
      </c>
      <c r="Y79">
        <v>349</v>
      </c>
      <c r="Z79" cm="1">
        <f t="array" ref="Z79">[1]!propssi("S","Q",0,"T",AB79,$Z$1)/1000</f>
        <v>1.3432684061413045</v>
      </c>
      <c r="AA79" cm="1">
        <f t="array" ref="AA79">[1]!propssi("S","Q",1,"T",AB79,$Z$1)/1000</f>
        <v>1.828209224226456</v>
      </c>
      <c r="AB79">
        <v>349</v>
      </c>
      <c r="AC79">
        <f t="shared" si="1"/>
        <v>76</v>
      </c>
    </row>
    <row r="80" spans="23:29" x14ac:dyDescent="0.3">
      <c r="W80" cm="1">
        <f t="array" ref="W80">[1]!propssi("S","Q",0,"T",Y80,$W$1)/1000</f>
        <v>1.3064202131853251</v>
      </c>
      <c r="X80" cm="1">
        <f t="array" ref="X80">[1]!propssi("S","Q",1,"T",Y80,$W$1)/1000</f>
        <v>1.7638554078969617</v>
      </c>
      <c r="Y80">
        <v>350</v>
      </c>
      <c r="Z80" cm="1">
        <f t="array" ref="Z80">[1]!propssi("S","Q",0,"T",AB80,$Z$1)/1000</f>
        <v>1.3475284694747927</v>
      </c>
      <c r="AA80" cm="1">
        <f t="array" ref="AA80">[1]!propssi("S","Q",1,"T",AB80,$Z$1)/1000</f>
        <v>1.8294079811402315</v>
      </c>
      <c r="AB80">
        <v>350</v>
      </c>
      <c r="AC80">
        <f t="shared" si="1"/>
        <v>77</v>
      </c>
    </row>
    <row r="81" spans="23:29" x14ac:dyDescent="0.3">
      <c r="W81" cm="1">
        <f t="array" ref="W81">[1]!propssi("S","Q",0,"T",Y81,$W$1)/1000</f>
        <v>1.3101725884345881</v>
      </c>
      <c r="X81" cm="1">
        <f t="array" ref="X81">[1]!propssi("S","Q",1,"T",Y81,$W$1)/1000</f>
        <v>1.7643006249391882</v>
      </c>
      <c r="Y81">
        <v>351</v>
      </c>
      <c r="Z81" cm="1">
        <f t="array" ref="Z81">[1]!propssi("S","Q",0,"T",AB81,$Z$1)/1000</f>
        <v>1.3517836921501578</v>
      </c>
      <c r="AA81" cm="1">
        <f t="array" ref="AA81">[1]!propssi("S","Q",1,"T",AB81,$Z$1)/1000</f>
        <v>1.8306096540423693</v>
      </c>
      <c r="AB81">
        <v>351</v>
      </c>
      <c r="AC81">
        <f t="shared" si="1"/>
        <v>78</v>
      </c>
    </row>
    <row r="82" spans="23:29" x14ac:dyDescent="0.3">
      <c r="W82" cm="1">
        <f t="array" ref="W82">[1]!propssi("S","Q",0,"T",Y82,$W$1)/1000</f>
        <v>1.313921495508096</v>
      </c>
      <c r="X82" cm="1">
        <f t="array" ref="X82">[1]!propssi("S","Q",1,"T",Y82,$W$1)/1000</f>
        <v>1.7647461808982305</v>
      </c>
      <c r="Y82">
        <v>352</v>
      </c>
      <c r="Z82" cm="1">
        <f t="array" ref="Z82">[1]!propssi("S","Q",0,"T",AB82,$Z$1)/1000</f>
        <v>1.3560341557452185</v>
      </c>
      <c r="AA82" cm="1">
        <f t="array" ref="AA82">[1]!propssi("S","Q",1,"T",AB82,$Z$1)/1000</f>
        <v>1.8318141562172092</v>
      </c>
      <c r="AB82">
        <v>352</v>
      </c>
      <c r="AC82">
        <f t="shared" si="1"/>
        <v>79</v>
      </c>
    </row>
    <row r="83" spans="23:29" x14ac:dyDescent="0.3">
      <c r="W83" cm="1">
        <f t="array" ref="W83">[1]!propssi("S","Q",0,"T",Y83,$W$1)/1000</f>
        <v>1.3176670538154613</v>
      </c>
      <c r="X83" cm="1">
        <f t="array" ref="X83">[1]!propssi("S","Q",1,"T",Y83,$W$1)/1000</f>
        <v>1.765191877977935</v>
      </c>
      <c r="Y83">
        <v>353</v>
      </c>
      <c r="Z83" cm="1">
        <f t="array" ref="Z83">[1]!propssi("S","Q",0,"T",AB83,$Z$1)/1000</f>
        <v>1.360279942353138</v>
      </c>
      <c r="AA83" cm="1">
        <f t="array" ref="AA83">[1]!propssi("S","Q",1,"T",AB83,$Z$1)/1000</f>
        <v>1.8330213998947444</v>
      </c>
      <c r="AB83">
        <v>353</v>
      </c>
      <c r="AC83">
        <f t="shared" si="1"/>
        <v>80</v>
      </c>
    </row>
    <row r="84" spans="23:29" x14ac:dyDescent="0.3">
      <c r="W84" cm="1">
        <f t="array" ref="W84">[1]!propssi("S","Q",0,"T",Y84,$W$1)/1000</f>
        <v>1.3214093848218289</v>
      </c>
      <c r="X84" cm="1">
        <f t="array" ref="X84">[1]!propssi("S","Q",1,"T",Y84,$W$1)/1000</f>
        <v>1.7656375157357678</v>
      </c>
      <c r="Y84">
        <v>354</v>
      </c>
      <c r="Z84" cm="1">
        <f t="array" ref="Z84">[1]!propssi("S","Q",0,"T",AB84,$Z$1)/1000</f>
        <v>1.364521134616002</v>
      </c>
      <c r="AA84" cm="1">
        <f t="array" ref="AA84">[1]!propssi("S","Q",1,"T",AB84,$Z$1)/1000</f>
        <v>1.83423129604614</v>
      </c>
      <c r="AB84">
        <v>354</v>
      </c>
      <c r="AC84">
        <f t="shared" si="1"/>
        <v>81</v>
      </c>
    </row>
    <row r="85" spans="23:29" x14ac:dyDescent="0.3">
      <c r="W85" cm="1">
        <f t="array" ref="W85">[1]!propssi("S","Q",0,"T",Y85,$W$1)/1000</f>
        <v>1.3251486121459628</v>
      </c>
      <c r="X85" cm="1">
        <f t="array" ref="X85">[1]!propssi("S","Q",1,"T",Y85,$W$1)/1000</f>
        <v>1.7660828908968944</v>
      </c>
      <c r="Y85">
        <v>355</v>
      </c>
      <c r="Z85" cm="1">
        <f t="array" ref="Z85">[1]!propssi("S","Q",0,"T",AB85,$Z$1)/1000</f>
        <v>1.3687578157594846</v>
      </c>
      <c r="AA85" cm="1">
        <f t="array" ref="AA85">[1]!propssi("S","Q",1,"T",AB85,$Z$1)/1000</f>
        <v>1.8354437541814923</v>
      </c>
      <c r="AB85">
        <v>355</v>
      </c>
      <c r="AC85">
        <f t="shared" si="1"/>
        <v>82</v>
      </c>
    </row>
    <row r="86" spans="23:29" x14ac:dyDescent="0.3">
      <c r="W86" cm="1">
        <f t="array" ref="W86">[1]!propssi("S","Q",0,"T",Y86,$W$1)/1000</f>
        <v>1.3288848616633187</v>
      </c>
      <c r="X86" cm="1">
        <f t="array" ref="X86">[1]!propssi("S","Q",1,"T",Y86,$W$1)/1000</f>
        <v>1.7665277971603934</v>
      </c>
      <c r="Y86">
        <v>356</v>
      </c>
      <c r="Z86" cm="1">
        <f t="array" ref="Z86">[1]!propssi("S","Q",0,"T",AB86,$Z$1)/1000</f>
        <v>1.3729900696286439</v>
      </c>
      <c r="AA86" cm="1">
        <f t="array" ref="AA86">[1]!propssi("S","Q",1,"T",AB86,$Z$1)/1000</f>
        <v>1.8366586821499955</v>
      </c>
      <c r="AB86">
        <v>356</v>
      </c>
      <c r="AC86">
        <f t="shared" si="1"/>
        <v>83</v>
      </c>
    </row>
    <row r="87" spans="23:29" x14ac:dyDescent="0.3">
      <c r="W87" cm="1">
        <f t="array" ref="W87">[1]!propssi("S","Q",0,"T",Y87,$W$1)/1000</f>
        <v>1.3326182616144591</v>
      </c>
      <c r="X87" cm="1">
        <f t="array" ref="X87">[1]!propssi("S","Q",1,"T",Y87,$W$1)/1000</f>
        <v>1.7669720249970484</v>
      </c>
      <c r="Y87">
        <v>357</v>
      </c>
      <c r="Z87" cm="1">
        <f t="array" ref="Z87">[1]!propssi("S","Q",0,"T",AB87,$Z$1)/1000</f>
        <v>1.3772179807249574</v>
      </c>
      <c r="AA87" cm="1">
        <f t="array" ref="AA87">[1]!propssi("S","Q",1,"T",AB87,$Z$1)/1000</f>
        <v>1.8378759859426916</v>
      </c>
      <c r="AB87">
        <v>357</v>
      </c>
      <c r="AC87">
        <f t="shared" si="1"/>
        <v>84</v>
      </c>
    </row>
    <row r="88" spans="23:29" x14ac:dyDescent="0.3">
      <c r="W88" cm="1">
        <f t="array" ref="W88">[1]!propssi("S","Q",0,"T",Y88,$W$1)/1000</f>
        <v>1.3363489427191748</v>
      </c>
      <c r="X88" cm="1">
        <f t="array" ref="X88">[1]!propssi("S","Q",1,"T",Y88,$W$1)/1000</f>
        <v>1.7674153614380719</v>
      </c>
      <c r="Y88">
        <v>358</v>
      </c>
      <c r="Z88" cm="1">
        <f t="array" ref="Z88">[1]!propssi("S","Q",0,"T",AB88,$Z$1)/1000</f>
        <v>1.3814416342446256</v>
      </c>
      <c r="AA88" cm="1">
        <f t="array" ref="AA88">[1]!propssi("S","Q",1,"T",AB88,$Z$1)/1000</f>
        <v>1.8390955694978934</v>
      </c>
      <c r="AB88">
        <v>358</v>
      </c>
      <c r="AC88">
        <f t="shared" si="1"/>
        <v>85</v>
      </c>
    </row>
    <row r="89" spans="23:29" x14ac:dyDescent="0.3">
      <c r="W89" cm="1">
        <f t="array" ref="W89">[1]!propssi("S","Q",0,"T",Y89,$W$1)/1000</f>
        <v>1.3400770382966898</v>
      </c>
      <c r="X89" cm="1">
        <f t="array" ref="X89">[1]!propssi("S","Q",1,"T",Y89,$W$1)/1000</f>
        <v>1.7678575898541224</v>
      </c>
      <c r="Y89">
        <v>359</v>
      </c>
      <c r="Z89" cm="1">
        <f t="array" ref="Z89">[1]!propssi("S","Q",0,"T",AB89,$Z$1)/1000</f>
        <v>1.3856611161182995</v>
      </c>
      <c r="AA89" cm="1">
        <f t="array" ref="AA89">[1]!propssi("S","Q",1,"T",AB89,$Z$1)/1000</f>
        <v>1.8403173345093868</v>
      </c>
      <c r="AB89">
        <v>359</v>
      </c>
      <c r="AC89">
        <f t="shared" si="1"/>
        <v>86</v>
      </c>
    </row>
    <row r="90" spans="23:29" x14ac:dyDescent="0.3">
      <c r="W90" cm="1">
        <f t="array" ref="W90">[1]!propssi("S","Q",0,"T",Y90,$W$1)/1000</f>
        <v>1.3438026843923925</v>
      </c>
      <c r="X90" cm="1">
        <f t="array" ref="X90">[1]!propssi("S","Q",1,"T",Y90,$W$1)/1000</f>
        <v>1.7682984897238663</v>
      </c>
      <c r="Y90">
        <v>360</v>
      </c>
      <c r="Z90" cm="1">
        <f t="array" ref="Z90">[1]!propssi("S","Q",0,"T",AB90,$Z$1)/1000</f>
        <v>1.3898765130522626</v>
      </c>
      <c r="AA90" cm="1">
        <f t="array" ref="AA90">[1]!propssi("S","Q",1,"T",AB90,$Z$1)/1000</f>
        <v>1.8415411802374475</v>
      </c>
      <c r="AB90">
        <v>360</v>
      </c>
      <c r="AC90">
        <f t="shared" si="1"/>
        <v>87</v>
      </c>
    </row>
    <row r="91" spans="23:29" x14ac:dyDescent="0.3">
      <c r="W91" cm="1">
        <f t="array" ref="W91">[1]!propssi("S","Q",0,"T",Y91,$W$1)/1000</f>
        <v>1.3475260199115398</v>
      </c>
      <c r="X91" cm="1">
        <f t="array" ref="X91">[1]!propssi("S","Q",1,"T",Y91,$W$1)/1000</f>
        <v>1.7687378363913209</v>
      </c>
      <c r="Y91">
        <v>361</v>
      </c>
      <c r="Z91" cm="1">
        <f t="array" ref="Z91">[1]!propssi("S","Q",0,"T",AB91,$Z$1)/1000</f>
        <v>1.3940879125711925</v>
      </c>
      <c r="AA91" cm="1">
        <f t="array" ref="AA91">[1]!propssi("S","Q",1,"T",AB91,$Z$1)/1000</f>
        <v>1.8427670033226911</v>
      </c>
      <c r="AB91">
        <v>361</v>
      </c>
      <c r="AC91">
        <f t="shared" si="1"/>
        <v>88</v>
      </c>
    </row>
    <row r="92" spans="23:29" x14ac:dyDescent="0.3">
      <c r="W92" cm="1">
        <f t="array" ref="W92">[1]!propssi("S","Q",0,"T",Y92,$W$1)/1000</f>
        <v>1.3512471867604432</v>
      </c>
      <c r="X92" cm="1">
        <f t="array" ref="X92">[1]!propssi("S","Q",1,"T",Y92,$W$1)/1000</f>
        <v>1.7691754008111384</v>
      </c>
      <c r="Y92">
        <v>362</v>
      </c>
      <c r="Z92" cm="1">
        <f t="array" ref="Z92">[1]!propssi("S","Q",0,"T",AB92,$Z$1)/1000</f>
        <v>1.3982954030625965</v>
      </c>
      <c r="AA92" cm="1">
        <f t="array" ref="AA92">[1]!propssi("S","Q",1,"T",AB92,$Z$1)/1000</f>
        <v>1.8439946976027652</v>
      </c>
      <c r="AB92">
        <v>362</v>
      </c>
      <c r="AC92">
        <f t="shared" si="1"/>
        <v>89</v>
      </c>
    </row>
    <row r="93" spans="23:29" x14ac:dyDescent="0.3">
      <c r="W93" cm="1">
        <f t="array" ref="W93">[1]!propssi("S","Q",0,"T",Y93,$W$1)/1000</f>
        <v>1.3549663299956802</v>
      </c>
      <c r="X93" cm="1">
        <f t="array" ref="X93">[1]!propssi("S","Q",1,"T",Y93,$W$1)/1000</f>
        <v>1.7696109492809071</v>
      </c>
      <c r="Y93">
        <v>363</v>
      </c>
      <c r="Z93" cm="1">
        <f t="array" ref="Z93">[1]!propssi("S","Q",0,"T",AB93,$Z$1)/1000</f>
        <v>1.402499073823037</v>
      </c>
      <c r="AA93" cm="1">
        <f t="array" ref="AA93">[1]!propssi("S","Q",1,"T",AB93,$Z$1)/1000</f>
        <v>1.8452241539318019</v>
      </c>
      <c r="AB93">
        <v>363</v>
      </c>
      <c r="AC93">
        <f t="shared" si="1"/>
        <v>90</v>
      </c>
    </row>
    <row r="94" spans="23:29" x14ac:dyDescent="0.3">
      <c r="W94" cm="1">
        <f t="array" ref="W94">[1]!propssi("S","Q",0,"T",Y94,$W$1)/1000</f>
        <v>1.3586835979819074</v>
      </c>
      <c r="X94" cm="1">
        <f t="array" ref="X94">[1]!propssi("S","Q",1,"T",Y94,$W$1)/1000</f>
        <v>1.7700442431595043</v>
      </c>
      <c r="Y94">
        <v>364</v>
      </c>
      <c r="Z94" cm="1">
        <f t="array" ref="Z94">[1]!propssi("S","Q",0,"T",AB94,$Z$1)/1000</f>
        <v>1.4066990151062488</v>
      </c>
      <c r="AA94" cm="1">
        <f t="array" ref="AA94">[1]!propssi("S","Q",1,"T",AB94,$Z$1)/1000</f>
        <v>1.8464552600024853</v>
      </c>
      <c r="AB94">
        <v>364</v>
      </c>
      <c r="AC94">
        <f t="shared" si="1"/>
        <v>91</v>
      </c>
    </row>
    <row r="95" spans="23:29" x14ac:dyDescent="0.3">
      <c r="W95" cm="1">
        <f t="array" ref="W95">[1]!propssi("S","Q",0,"T",Y95,$W$1)/1000</f>
        <v>1.3623991425589403</v>
      </c>
      <c r="X95" cm="1">
        <f t="array" ref="X95">[1]!propssi("S","Q",1,"T",Y95,$W$1)/1000</f>
        <v>1.7704750385704127</v>
      </c>
      <c r="Y95">
        <v>365</v>
      </c>
      <c r="Z95" cm="1">
        <f t="array" ref="Z95">[1]!propssi("S","Q",0,"T",AB95,$Z$1)/1000</f>
        <v>1.4108953181732704</v>
      </c>
      <c r="AA95" cm="1">
        <f t="array" ref="AA95">[1]!propssi("S","Q",1,"T",AB95,$Z$1)/1000</f>
        <v>1.8476879001707618</v>
      </c>
      <c r="AB95">
        <v>365</v>
      </c>
      <c r="AC95">
        <f t="shared" si="1"/>
        <v>92</v>
      </c>
    </row>
    <row r="96" spans="23:29" x14ac:dyDescent="0.3">
      <c r="W96" cm="1">
        <f t="array" ref="W96">[1]!propssi("S","Q",0,"T",Y96,$W$1)/1000</f>
        <v>1.366113119218791</v>
      </c>
      <c r="X96" cm="1">
        <f t="array" ref="X96">[1]!propssi("S","Q",1,"T",Y96,$W$1)/1000</f>
        <v>1.7709030860888619</v>
      </c>
      <c r="Y96">
        <v>366</v>
      </c>
      <c r="Z96" cm="1">
        <f t="array" ref="Z96">[1]!propssi("S","Q",0,"T",AB96,$Z$1)/1000</f>
        <v>1.4150880753447392</v>
      </c>
      <c r="AA96" cm="1">
        <f t="array" ref="AA96">[1]!propssi("S","Q",1,"T",AB96,$Z$1)/1000</f>
        <v>1.848921955282822</v>
      </c>
      <c r="AB96">
        <v>366</v>
      </c>
      <c r="AC96">
        <f t="shared" si="1"/>
        <v>93</v>
      </c>
    </row>
    <row r="97" spans="23:29" x14ac:dyDescent="0.3">
      <c r="W97" cm="1">
        <f t="array" ref="W97">[1]!propssi("S","Q",0,"T",Y97,$W$1)/1000</f>
        <v>1.3698256872934167</v>
      </c>
      <c r="X97" cm="1">
        <f t="array" ref="X97">[1]!propssi("S","Q",1,"T",Y97,$W$1)/1000</f>
        <v>1.771328130411514</v>
      </c>
      <c r="Y97">
        <v>367</v>
      </c>
      <c r="Z97" cm="1">
        <f t="array" ref="Z97">[1]!propssi("S","Q",0,"T",AB97,$Z$1)/1000</f>
        <v>1.4192773800554368</v>
      </c>
      <c r="AA97" cm="1">
        <f t="array" ref="AA97">[1]!propssi("S","Q",1,"T",AB97,$Z$1)/1000</f>
        <v>1.8501573025042455</v>
      </c>
      <c r="AB97">
        <v>367</v>
      </c>
      <c r="AC97">
        <f t="shared" si="1"/>
        <v>94</v>
      </c>
    </row>
    <row r="98" spans="23:29" x14ac:dyDescent="0.3">
      <c r="W98" cm="1">
        <f t="array" ref="W98">[1]!propssi("S","Q",0,"T",Y98,$W$1)/1000</f>
        <v>1.3735370101540452</v>
      </c>
      <c r="X98" cm="1">
        <f t="array" ref="X98">[1]!propssi("S","Q",1,"T",Y98,$W$1)/1000</f>
        <v>1.7717499100073502</v>
      </c>
      <c r="Y98">
        <v>368</v>
      </c>
      <c r="Z98" cm="1">
        <f t="array" ref="Z98">[1]!propssi("S","Q",0,"T",AB98,$Z$1)/1000</f>
        <v>1.4234633269113026</v>
      </c>
      <c r="AA98" cm="1">
        <f t="array" ref="AA98">[1]!propssi("S","Q",1,"T",AB98,$Z$1)/1000</f>
        <v>1.8513938151511131</v>
      </c>
      <c r="AB98">
        <v>368</v>
      </c>
      <c r="AC98">
        <f t="shared" si="1"/>
        <v>95</v>
      </c>
    </row>
    <row r="99" spans="23:29" x14ac:dyDescent="0.3">
      <c r="W99" cm="1">
        <f t="array" ref="W99">[1]!propssi("S","Q",0,"T",Y99,$W$1)/1000</f>
        <v>1.3772472554229509</v>
      </c>
      <c r="X99" cm="1">
        <f t="array" ref="X99">[1]!propssi("S","Q",1,"T",Y99,$W$1)/1000</f>
        <v>1.7721681567482219</v>
      </c>
      <c r="Y99">
        <v>369</v>
      </c>
      <c r="Z99" cm="1">
        <f t="array" ref="Z99">[1]!propssi("S","Q",0,"T",AB99,$Z$1)/1000</f>
        <v>1.4276460117490095</v>
      </c>
      <c r="AA99" cm="1">
        <f t="array" ref="AA99">[1]!propssi("S","Q",1,"T",AB99,$Z$1)/1000</f>
        <v>1.8526313625226727</v>
      </c>
      <c r="AB99">
        <v>369</v>
      </c>
      <c r="AC99">
        <f t="shared" si="1"/>
        <v>96</v>
      </c>
    </row>
    <row r="100" spans="23:29" x14ac:dyDescent="0.3">
      <c r="W100" cm="1">
        <f t="array" ref="W100">[1]!propssi("S","Q",0,"T",Y100,$W$1)/1000</f>
        <v>1.3809565951987335</v>
      </c>
      <c r="X100" cm="1">
        <f t="array" ref="X100">[1]!propssi("S","Q",1,"T",Y100,$W$1)/1000</f>
        <v>1.7725825955175092</v>
      </c>
      <c r="Y100">
        <v>370</v>
      </c>
      <c r="Z100" cm="1">
        <f t="array" ref="Z100">[1]!propssi("S","Q",0,"T",AB100,$Z$1)/1000</f>
        <v>1.4318255316982806</v>
      </c>
      <c r="AA100" cm="1">
        <f t="array" ref="AA100">[1]!propssi("S","Q",1,"T",AB100,$Z$1)/1000</f>
        <v>1.8538698097352706</v>
      </c>
      <c r="AB100">
        <v>370</v>
      </c>
      <c r="AC100">
        <f t="shared" si="1"/>
        <v>97</v>
      </c>
    </row>
    <row r="101" spans="23:29" x14ac:dyDescent="0.3">
      <c r="W101" cm="1">
        <f t="array" ref="W101">[1]!propssi("S","Q",0,"T",Y101,$W$1)/1000</f>
        <v>1.3846652062961544</v>
      </c>
      <c r="X101" cm="1">
        <f t="array" ref="X101">[1]!propssi("S","Q",1,"T",Y101,$W$1)/1000</f>
        <v>1.7729929437950387</v>
      </c>
      <c r="Y101">
        <v>371</v>
      </c>
      <c r="Z101" cm="1">
        <f t="array" ref="Z101">[1]!propssi("S","Q",0,"T",AB101,$Z$1)/1000</f>
        <v>1.4360019852471659</v>
      </c>
      <c r="AA101" cm="1">
        <f t="array" ref="AA101">[1]!propssi("S","Q",1,"T",AB101,$Z$1)/1000</f>
        <v>1.8551090175572544</v>
      </c>
      <c r="AB101">
        <v>371</v>
      </c>
      <c r="AC101">
        <f t="shared" si="1"/>
        <v>98</v>
      </c>
    </row>
    <row r="102" spans="23:29" x14ac:dyDescent="0.3">
      <c r="W102" cm="1">
        <f t="array" ref="W102">[1]!propssi("S","Q",0,"T",Y102,$W$1)/1000</f>
        <v>1.3883732705017666</v>
      </c>
      <c r="X102" cm="1">
        <f t="array" ref="X102">[1]!propssi("S","Q",1,"T",Y102,$W$1)/1000</f>
        <v>1.77339891121636</v>
      </c>
      <c r="Y102">
        <v>372</v>
      </c>
      <c r="Z102" cm="1">
        <f t="array" ref="Z102">[1]!propssi("S","Q",0,"T",AB102,$Z$1)/1000</f>
        <v>1.4401754723103841</v>
      </c>
      <c r="AA102" cm="1">
        <f t="array" ref="AA102">[1]!propssi("S","Q",1,"T",AB102,$Z$1)/1000</f>
        <v>1.8563488422442356</v>
      </c>
      <c r="AB102">
        <v>372</v>
      </c>
      <c r="AC102">
        <f t="shared" si="1"/>
        <v>99</v>
      </c>
    </row>
    <row r="103" spans="23:29" x14ac:dyDescent="0.3">
      <c r="W103" cm="1">
        <f t="array" ref="W103">[1]!propssi("S","Q",0,"T",Y103,$W$1)/1000</f>
        <v>1.3920809748466492</v>
      </c>
      <c r="X103" cm="1">
        <f t="array" ref="X103">[1]!propssi("S","Q",1,"T",Y103,$W$1)/1000</f>
        <v>1.7738001991042498</v>
      </c>
      <c r="Y103">
        <v>373</v>
      </c>
      <c r="Z103" cm="1">
        <f t="array" ref="Z103">[1]!propssi("S","Q",0,"T",AB103,$Z$1)/1000</f>
        <v>1.4443460943010364</v>
      </c>
      <c r="AA103" cm="1">
        <f t="array" ref="AA103">[1]!propssi("S","Q",1,"T",AB103,$Z$1)/1000</f>
        <v>1.8575891353744951</v>
      </c>
      <c r="AB103">
        <v>373</v>
      </c>
      <c r="AC103">
        <f t="shared" si="1"/>
        <v>100</v>
      </c>
    </row>
    <row r="104" spans="23:29" x14ac:dyDescent="0.3">
      <c r="W104" cm="1">
        <f t="array" ref="W104">[1]!propssi("S","Q",0,"T",Y104,$W$1)/1000</f>
        <v>1.395788511897728</v>
      </c>
      <c r="X104" cm="1">
        <f t="array" ref="X104">[1]!propssi("S","Q",1,"T",Y104,$W$1)/1000</f>
        <v>1.7741964999701019</v>
      </c>
      <c r="Y104">
        <v>374</v>
      </c>
      <c r="Z104" cm="1">
        <f t="array" ref="Z104">[1]!propssi("S","Q",0,"T",AB104,$Z$1)/1000</f>
        <v>1.4485139542058032</v>
      </c>
      <c r="AA104" cm="1">
        <f t="array" ref="AA104">[1]!propssi("S","Q",1,"T",AB104,$Z$1)/1000</f>
        <v>1.8588297436837871</v>
      </c>
      <c r="AB104">
        <v>374</v>
      </c>
      <c r="AC104">
        <f t="shared" si="1"/>
        <v>101</v>
      </c>
    </row>
    <row r="105" spans="23:29" x14ac:dyDescent="0.3">
      <c r="W105" cm="1">
        <f t="array" ref="W105">[1]!propssi("S","Q",0,"T",Y105,$W$1)/1000</f>
        <v>1.3994960800692851</v>
      </c>
      <c r="X105" cm="1">
        <f t="array" ref="X105">[1]!propssi("S","Q",1,"T",Y105,$W$1)/1000</f>
        <v>1.7745874969826536</v>
      </c>
      <c r="Y105">
        <v>375</v>
      </c>
      <c r="Z105" cm="1">
        <f t="array" ref="Z105">[1]!propssi("S","Q",0,"T",AB105,$Z$1)/1000</f>
        <v>1.4526791566639645</v>
      </c>
      <c r="AA105" cm="1">
        <f t="array" ref="AA105">[1]!propssi("S","Q",1,"T",AB105,$Z$1)/1000</f>
        <v>1.8600705088991547</v>
      </c>
      <c r="AB105">
        <v>375</v>
      </c>
      <c r="AC105">
        <f t="shared" si="1"/>
        <v>102</v>
      </c>
    </row>
    <row r="106" spans="23:29" x14ac:dyDescent="0.3">
      <c r="W106" cm="1">
        <f t="array" ref="W106">[1]!propssi("S","Q",0,"T",Y106,$W$1)/1000</f>
        <v>1.4032038839564369</v>
      </c>
      <c r="X106" cm="1">
        <f t="array" ref="X106">[1]!propssi("S","Q",1,"T",Y106,$W$1)/1000</f>
        <v>1.7749728634012232</v>
      </c>
      <c r="Y106">
        <v>376</v>
      </c>
      <c r="Z106" cm="1">
        <f t="array" ref="Z106">[1]!propssi("S","Q",0,"T",AB106,$Z$1)/1000</f>
        <v>1.4568418080503645</v>
      </c>
      <c r="AA106" cm="1">
        <f t="array" ref="AA106">[1]!propssi("S","Q",1,"T",AB106,$Z$1)/1000</f>
        <v>1.8613112675710222</v>
      </c>
      <c r="AB106">
        <v>376</v>
      </c>
      <c r="AC106">
        <f t="shared" si="1"/>
        <v>103</v>
      </c>
    </row>
    <row r="107" spans="23:29" x14ac:dyDescent="0.3">
      <c r="W107" cm="1">
        <f t="array" ref="W107">[1]!propssi("S","Q",0,"T",Y107,$W$1)/1000</f>
        <v>1.4069121346925726</v>
      </c>
      <c r="X107" cm="1">
        <f t="array" ref="X107">[1]!propssi("S","Q",1,"T",Y107,$W$1)/1000</f>
        <v>1.7753522619703912</v>
      </c>
      <c r="Y107">
        <v>377</v>
      </c>
      <c r="Z107" cm="1">
        <f t="array" ref="Z107">[1]!propssi("S","Q",0,"T",AB107,$Z$1)/1000</f>
        <v>1.4610020165627433</v>
      </c>
      <c r="AA107" cm="1">
        <f t="array" ref="AA107">[1]!propssi("S","Q",1,"T",AB107,$Z$1)/1000</f>
        <v>1.8625518509030283</v>
      </c>
      <c r="AB107">
        <v>377</v>
      </c>
      <c r="AC107">
        <f t="shared" si="1"/>
        <v>104</v>
      </c>
    </row>
    <row r="108" spans="23:29" x14ac:dyDescent="0.3">
      <c r="W108" cm="1">
        <f t="array" ref="W108">[1]!propssi("S","Q",0,"T",Y108,$W$1)/1000</f>
        <v>1.4106210503329268</v>
      </c>
      <c r="X108" cm="1">
        <f t="array" ref="X108">[1]!propssi("S","Q",1,"T",Y108,$W$1)/1000</f>
        <v>1.7757253442726557</v>
      </c>
      <c r="Y108">
        <v>378</v>
      </c>
      <c r="Z108" cm="1">
        <f t="array" ref="Z108">[1]!propssi("S","Q",0,"T",AB108,$Z$1)/1000</f>
        <v>1.4651598923135647</v>
      </c>
      <c r="AA108" cm="1">
        <f t="array" ref="AA108">[1]!propssi("S","Q",1,"T",AB108,$Z$1)/1000</f>
        <v>1.8637920845787763</v>
      </c>
      <c r="AB108">
        <v>378</v>
      </c>
      <c r="AC108">
        <f t="shared" si="1"/>
        <v>105</v>
      </c>
    </row>
    <row r="109" spans="23:29" x14ac:dyDescent="0.3">
      <c r="W109" cm="1">
        <f t="array" ref="W109">[1]!propssi("S","Q",0,"T",Y109,$W$1)/1000</f>
        <v>1.4143308562667165</v>
      </c>
      <c r="X109" cm="1">
        <f t="array" ref="X109">[1]!propssi("S","Q",1,"T",Y109,$W$1)/1000</f>
        <v>1.7760917500353401</v>
      </c>
      <c r="Y109">
        <v>379</v>
      </c>
      <c r="Z109" cm="1">
        <f t="array" ref="Z109">[1]!propssi("S","Q",0,"T",AB109,$Z$1)/1000</f>
        <v>1.4693155474268011</v>
      </c>
      <c r="AA109" cm="1">
        <f t="array" ref="AA109">[1]!propssi("S","Q",1,"T",AB109,$Z$1)/1000</f>
        <v>1.8650317885848284</v>
      </c>
      <c r="AB109">
        <v>379</v>
      </c>
      <c r="AC109">
        <f t="shared" si="1"/>
        <v>106</v>
      </c>
    </row>
    <row r="110" spans="23:29" x14ac:dyDescent="0.3">
      <c r="W110" cm="1">
        <f t="array" ref="W110">[1]!propssi("S","Q",0,"T",Y110,$W$1)/1000</f>
        <v>1.4180417856605523</v>
      </c>
      <c r="X110" cm="1">
        <f t="array" ref="X110">[1]!propssi("S","Q",1,"T",Y110,$W$1)/1000</f>
        <v>1.7764511063875457</v>
      </c>
      <c r="Y110">
        <v>380</v>
      </c>
      <c r="Z110" cm="1">
        <f t="array" ref="Z110">[1]!propssi("S","Q",0,"T",AB110,$Z$1)/1000</f>
        <v>1.4734690961398804</v>
      </c>
      <c r="AA110" cm="1">
        <f t="array" ref="AA110">[1]!propssi("S","Q",1,"T",AB110,$Z$1)/1000</f>
        <v>1.8662707770290459</v>
      </c>
      <c r="AB110">
        <v>380</v>
      </c>
      <c r="AC110">
        <f t="shared" si="1"/>
        <v>107</v>
      </c>
    </row>
    <row r="111" spans="23:29" x14ac:dyDescent="0.3">
      <c r="W111" cm="1">
        <f t="array" ref="W111">[1]!propssi("S","Q",0,"T",Y111,$W$1)/1000</f>
        <v>1.421754079936125</v>
      </c>
      <c r="X111" cm="1">
        <f t="array" ref="X111">[1]!propssi("S","Q",1,"T",Y111,$W$1)/1000</f>
        <v>1.7768030270625292</v>
      </c>
      <c r="Y111">
        <v>381</v>
      </c>
      <c r="Z111" cm="1">
        <f t="array" ref="Z111">[1]!propssi("S","Q",0,"T",AB111,$Z$1)/1000</f>
        <v>1.4776206549112711</v>
      </c>
      <c r="AA111" cm="1">
        <f t="array" ref="AA111">[1]!propssi("S","Q",1,"T",AB111,$Z$1)/1000</f>
        <v>1.8675088579534693</v>
      </c>
      <c r="AB111">
        <v>381</v>
      </c>
      <c r="AC111">
        <f t="shared" si="1"/>
        <v>108</v>
      </c>
    </row>
    <row r="112" spans="23:29" x14ac:dyDescent="0.3">
      <c r="W112" cm="1">
        <f t="array" ref="W112">[1]!propssi("S","Q",0,"T",Y112,$W$1)/1000</f>
        <v>1.4254679892855344</v>
      </c>
      <c r="X112" cm="1">
        <f t="array" ref="X112">[1]!propssi("S","Q",1,"T",Y112,$W$1)/1000</f>
        <v>1.7771471115403554</v>
      </c>
      <c r="Y112">
        <v>382</v>
      </c>
      <c r="Z112" cm="1">
        <f t="array" ref="Z112">[1]!propssi("S","Q",0,"T",AB112,$Z$1)/1000</f>
        <v>1.4817703425340067</v>
      </c>
      <c r="AA112" cm="1">
        <f t="array" ref="AA112">[1]!propssi("S","Q",1,"T",AB112,$Z$1)/1000</f>
        <v>1.8687458331407194</v>
      </c>
      <c r="AB112">
        <v>382</v>
      </c>
      <c r="AC112">
        <f t="shared" si="1"/>
        <v>109</v>
      </c>
    </row>
    <row r="113" spans="23:29" x14ac:dyDescent="0.3">
      <c r="W113" cm="1">
        <f t="array" ref="W113">[1]!propssi("S","Q",0,"T",Y113,$W$1)/1000</f>
        <v>1.4291837732280082</v>
      </c>
      <c r="X113" cm="1">
        <f t="array" ref="X113">[1]!propssi("S","Q",1,"T",Y113,$W$1)/1000</f>
        <v>1.7774829441251319</v>
      </c>
      <c r="Y113">
        <v>383</v>
      </c>
      <c r="Z113" cm="1">
        <f t="array" ref="Z113">[1]!propssi("S","Q",0,"T",AB113,$Z$1)/1000</f>
        <v>1.485918280255641</v>
      </c>
      <c r="AA113" cm="1">
        <f t="array" ref="AA113">[1]!propssi("S","Q",1,"T",AB113,$Z$1)/1000</f>
        <v>1.8699814979129412</v>
      </c>
      <c r="AB113">
        <v>383</v>
      </c>
      <c r="AC113">
        <f t="shared" si="1"/>
        <v>110</v>
      </c>
    </row>
    <row r="114" spans="23:29" x14ac:dyDescent="0.3">
      <c r="W114" cm="1">
        <f t="array" ref="W114">[1]!propssi("S","Q",0,"T",Y114,$W$1)/1000</f>
        <v>1.4329017012122216</v>
      </c>
      <c r="X114" cm="1">
        <f t="array" ref="X114">[1]!propssi("S","Q",1,"T",Y114,$W$1)/1000</f>
        <v>1.7778100929504144</v>
      </c>
      <c r="Y114">
        <v>384</v>
      </c>
      <c r="Z114" cm="1">
        <f t="array" ref="Z114">[1]!propssi("S","Q",0,"T",AB114,$Z$1)/1000</f>
        <v>1.4900645919050599</v>
      </c>
      <c r="AA114" cm="1">
        <f t="array" ref="AA114">[1]!propssi("S","Q",1,"T",AB114,$Z$1)/1000</f>
        <v>1.8712156409222072</v>
      </c>
      <c r="AB114">
        <v>384</v>
      </c>
      <c r="AC114">
        <f t="shared" si="1"/>
        <v>111</v>
      </c>
    </row>
    <row r="115" spans="23:29" x14ac:dyDescent="0.3">
      <c r="W115" cm="1">
        <f t="array" ref="W115">[1]!propssi("S","Q",0,"T",Y115,$W$1)/1000</f>
        <v>1.4366220532689484</v>
      </c>
      <c r="X115" cm="1">
        <f t="array" ref="X115">[1]!propssi("S","Q",1,"T",Y115,$W$1)/1000</f>
        <v>1.7781281089057066</v>
      </c>
      <c r="Y115">
        <v>385</v>
      </c>
      <c r="Z115" cm="1">
        <f t="array" ref="Z115">[1]!propssi("S","Q",0,"T",AB115,$Z$1)/1000</f>
        <v>1.4942094040266687</v>
      </c>
      <c r="AA115" cm="1">
        <f t="array" ref="AA115">[1]!propssi("S","Q",1,"T",AB115,$Z$1)/1000</f>
        <v>1.8724480439311837</v>
      </c>
      <c r="AB115">
        <v>385</v>
      </c>
      <c r="AC115">
        <f t="shared" si="1"/>
        <v>112</v>
      </c>
    </row>
    <row r="116" spans="23:29" x14ac:dyDescent="0.3">
      <c r="W116" cm="1">
        <f t="array" ref="W116">[1]!propssi("S","Q",0,"T",Y116,$W$1)/1000</f>
        <v>1.4403451207193387</v>
      </c>
      <c r="X116" cm="1">
        <f t="array" ref="X116">[1]!propssi("S","Q",1,"T",Y116,$W$1)/1000</f>
        <v>1.7784365244760545</v>
      </c>
      <c r="Y116">
        <v>386</v>
      </c>
      <c r="Z116" cm="1">
        <f t="array" ref="Z116">[1]!propssi("S","Q",0,"T",AB116,$Z$1)/1000</f>
        <v>1.4983528460224789</v>
      </c>
      <c r="AA116" cm="1">
        <f t="array" ref="AA116">[1]!propssi("S","Q",1,"T",AB116,$Z$1)/1000</f>
        <v>1.8736784815828362</v>
      </c>
      <c r="AB116">
        <v>386</v>
      </c>
      <c r="AC116">
        <f t="shared" si="1"/>
        <v>113</v>
      </c>
    </row>
    <row r="117" spans="23:29" x14ac:dyDescent="0.3">
      <c r="W117" cm="1">
        <f t="array" ref="W117">[1]!propssi("S","Q",0,"T",Y117,$W$1)/1000</f>
        <v>1.4440712069448318</v>
      </c>
      <c r="X117" cm="1">
        <f t="array" ref="X117">[1]!propssi("S","Q",1,"T",Y117,$W$1)/1000</f>
        <v>1.7787348524858244</v>
      </c>
      <c r="Y117">
        <v>387</v>
      </c>
      <c r="Z117" cm="1">
        <f t="array" ref="Z117">[1]!propssi("S","Q",0,"T",AB117,$Z$1)/1000</f>
        <v>1.5024950503027241</v>
      </c>
      <c r="AA117" cm="1">
        <f t="array" ref="AA117">[1]!propssi("S","Q",1,"T",AB117,$Z$1)/1000</f>
        <v>1.8749067211578101</v>
      </c>
      <c r="AB117">
        <v>387</v>
      </c>
      <c r="AC117">
        <f t="shared" si="1"/>
        <v>114</v>
      </c>
    </row>
    <row r="118" spans="23:29" x14ac:dyDescent="0.3">
      <c r="W118" cm="1">
        <f t="array" ref="W118">[1]!propssi("S","Q",0,"T",Y118,$W$1)/1000</f>
        <v>1.4478006282254461</v>
      </c>
      <c r="X118" cm="1">
        <f t="array" ref="X118">[1]!propssi("S","Q",1,"T",Y118,$W$1)/1000</f>
        <v>1.7790225847366297</v>
      </c>
      <c r="Y118">
        <v>388</v>
      </c>
      <c r="Z118" cm="1">
        <f t="array" ref="Z118">[1]!propssi("S","Q",0,"T",AB118,$Z$1)/1000</f>
        <v>1.5066361524456064</v>
      </c>
      <c r="AA118" cm="1">
        <f t="array" ref="AA118">[1]!propssi("S","Q",1,"T",AB118,$Z$1)/1000</f>
        <v>1.876132522318039</v>
      </c>
      <c r="AB118">
        <v>388</v>
      </c>
      <c r="AC118">
        <f t="shared" si="1"/>
        <v>115</v>
      </c>
    </row>
    <row r="119" spans="23:29" x14ac:dyDescent="0.3">
      <c r="W119" cm="1">
        <f t="array" ref="W119">[1]!propssi("S","Q",0,"T",Y119,$W$1)/1000</f>
        <v>1.4515337146541378</v>
      </c>
      <c r="X119" cm="1">
        <f t="array" ref="X119">[1]!propssi("S","Q",1,"T",Y119,$W$1)/1000</f>
        <v>1.7792991905281048</v>
      </c>
      <c r="Y119">
        <v>389</v>
      </c>
      <c r="Z119" cm="1">
        <f t="array" ref="Z119">[1]!propssi("S","Q",0,"T",AB119,$Z$1)/1000</f>
        <v>1.5107762913669194</v>
      </c>
      <c r="AA119" cm="1">
        <f t="array" ref="AA119">[1]!propssi("S","Q",1,"T",AB119,$Z$1)/1000</f>
        <v>1.8773556368350677</v>
      </c>
      <c r="AB119">
        <v>389</v>
      </c>
      <c r="AC119">
        <f t="shared" si="1"/>
        <v>116</v>
      </c>
    </row>
    <row r="120" spans="23:29" x14ac:dyDescent="0.3">
      <c r="W120" cm="1">
        <f t="array" ref="W120">[1]!propssi("S","Q",0,"T",Y120,$W$1)/1000</f>
        <v>1.4552708111358765</v>
      </c>
      <c r="X120" cm="1">
        <f t="array" ref="X120">[1]!propssi("S","Q",1,"T",Y120,$W$1)/1000</f>
        <v>1.779564115048728</v>
      </c>
      <c r="Y120">
        <v>390</v>
      </c>
      <c r="Z120" cm="1">
        <f t="array" ref="Z120">[1]!propssi("S","Q",0,"T",AB120,$Z$1)/1000</f>
        <v>1.5149156095002647</v>
      </c>
      <c r="AA120" cm="1">
        <f t="array" ref="AA120">[1]!propssi("S","Q",1,"T",AB120,$Z$1)/1000</f>
        <v>1.8785758083013335</v>
      </c>
      <c r="AB120">
        <v>390</v>
      </c>
      <c r="AC120">
        <f t="shared" si="1"/>
        <v>117</v>
      </c>
    </row>
    <row r="121" spans="23:29" x14ac:dyDescent="0.3">
      <c r="W121" cm="1">
        <f t="array" ref="W121">[1]!propssi("S","Q",0,"T",Y121,$W$1)/1000</f>
        <v>1.4590122784813726</v>
      </c>
      <c r="X121" cm="1">
        <f t="array" ref="X121">[1]!propssi("S","Q",1,"T",Y121,$W$1)/1000</f>
        <v>1.779816777622315</v>
      </c>
      <c r="Y121">
        <v>391</v>
      </c>
      <c r="Z121" cm="1">
        <f t="array" ref="Z121">[1]!propssi("S","Q",0,"T",AB121,$Z$1)/1000</f>
        <v>1.5190542529888025</v>
      </c>
      <c r="AA121" cm="1">
        <f t="array" ref="AA121">[1]!propssi("S","Q",1,"T",AB121,$Z$1)/1000</f>
        <v>1.8797927718227196</v>
      </c>
      <c r="AB121">
        <v>391</v>
      </c>
      <c r="AC121">
        <f t="shared" si="1"/>
        <v>118</v>
      </c>
    </row>
    <row r="122" spans="23:29" x14ac:dyDescent="0.3">
      <c r="W122" cm="1">
        <f t="array" ref="W122">[1]!propssi("S","Q",0,"T",Y122,$W$1)/1000</f>
        <v>1.4627584946067025</v>
      </c>
      <c r="X122" cm="1">
        <f t="array" ref="X122">[1]!propssi("S","Q",1,"T",Y122,$W$1)/1000</f>
        <v>1.7800565697937323</v>
      </c>
      <c r="Y122">
        <v>392</v>
      </c>
      <c r="Z122" cm="1">
        <f t="array" ref="Z122">[1]!propssi("S","Q",0,"T",AB122,$Z$1)/1000</f>
        <v>1.5231923718893097</v>
      </c>
      <c r="AA122" cm="1">
        <f t="array" ref="AA122">[1]!propssi("S","Q",1,"T",AB122,$Z$1)/1000</f>
        <v>1.8810062536903189</v>
      </c>
      <c r="AB122">
        <v>392</v>
      </c>
      <c r="AC122">
        <f t="shared" si="1"/>
        <v>119</v>
      </c>
    </row>
    <row r="123" spans="23:29" x14ac:dyDescent="0.3">
      <c r="W123" cm="1">
        <f t="array" ref="W123">[1]!propssi("S","Q",0,"T",Y123,$W$1)/1000</f>
        <v>1.4665098558517549</v>
      </c>
      <c r="X123" cm="1">
        <f t="array" ref="X123">[1]!propssi("S","Q",1,"T",Y123,$W$1)/1000</f>
        <v>1.7802828532352128</v>
      </c>
      <c r="Y123">
        <v>393</v>
      </c>
      <c r="Z123" cm="1">
        <f t="array" ref="Z123">[1]!propssi("S","Q",0,"T",AB123,$Z$1)/1000</f>
        <v>1.5273301203897223</v>
      </c>
      <c r="AA123" cm="1">
        <f t="array" ref="AA123">[1]!propssi("S","Q",1,"T",AB123,$Z$1)/1000</f>
        <v>1.8822159710293607</v>
      </c>
      <c r="AB123">
        <v>393</v>
      </c>
      <c r="AC123">
        <f t="shared" si="1"/>
        <v>120</v>
      </c>
    </row>
    <row r="124" spans="23:29" x14ac:dyDescent="0.3">
      <c r="W124" cm="1">
        <f t="array" ref="W124">[1]!propssi("S","Q",0,"T",Y124,$W$1)/1000</f>
        <v>1.4702667784322663</v>
      </c>
      <c r="X124" cm="1">
        <f t="array" ref="X124">[1]!propssi("S","Q",1,"T",Y124,$W$1)/1000</f>
        <v>1.7804949574520157</v>
      </c>
      <c r="Y124">
        <v>394</v>
      </c>
      <c r="Z124" cm="1">
        <f t="array" ref="Z124">[1]!propssi("S","Q",0,"T",AB124,$Z$1)/1000</f>
        <v>1.5314676570411432</v>
      </c>
      <c r="AA124" cm="1">
        <f t="array" ref="AA124">[1]!propssi("S","Q",1,"T",AB124,$Z$1)/1000</f>
        <v>1.8834216314230161</v>
      </c>
      <c r="AB124">
        <v>394</v>
      </c>
      <c r="AC124">
        <f t="shared" si="1"/>
        <v>121</v>
      </c>
    </row>
    <row r="125" spans="23:29" x14ac:dyDescent="0.3">
      <c r="W125" cm="1">
        <f t="array" ref="W125">[1]!propssi("S","Q",0,"T",Y125,$W$1)/1000</f>
        <v>1.4740297000424785</v>
      </c>
      <c r="X125" cm="1">
        <f t="array" ref="X125">[1]!propssi("S","Q",1,"T",Y125,$W$1)/1000</f>
        <v>1.7806921772630595</v>
      </c>
      <c r="Y125">
        <v>395</v>
      </c>
      <c r="Z125" cm="1">
        <f t="array" ref="Z125">[1]!propssi("S","Q",0,"T",AB125,$Z$1)/1000</f>
        <v>1.5356051450056101</v>
      </c>
      <c r="AA125" cm="1">
        <f t="array" ref="AA125">[1]!propssi("S","Q",1,"T",AB125,$Z$1)/1000</f>
        <v>1.8846229325085888</v>
      </c>
      <c r="AB125">
        <v>395</v>
      </c>
      <c r="AC125">
        <f t="shared" si="1"/>
        <v>122</v>
      </c>
    </row>
    <row r="126" spans="23:29" x14ac:dyDescent="0.3">
      <c r="W126" cm="1">
        <f t="array" ref="W126">[1]!propssi("S","Q",0,"T",Y126,$W$1)/1000</f>
        <v>1.4777990816280131</v>
      </c>
      <c r="X126" cm="1">
        <f t="array" ref="X126">[1]!propssi("S","Q",1,"T",Y126,$W$1)/1000</f>
        <v>1.7808737700286199</v>
      </c>
      <c r="Y126">
        <v>396</v>
      </c>
      <c r="Z126" cm="1">
        <f t="array" ref="Z126">[1]!propssi("S","Q",0,"T",AB126,$Z$1)/1000</f>
        <v>1.5397427523209541</v>
      </c>
      <c r="AA126" cm="1">
        <f t="array" ref="AA126">[1]!propssi("S","Q",1,"T",AB126,$Z$1)/1000</f>
        <v>1.8858195615433877</v>
      </c>
      <c r="AB126">
        <v>396</v>
      </c>
      <c r="AC126">
        <f t="shared" si="1"/>
        <v>123</v>
      </c>
    </row>
    <row r="127" spans="23:29" x14ac:dyDescent="0.3">
      <c r="W127" cm="1">
        <f t="array" ref="W127">[1]!propssi("S","Q",0,"T",Y127,$W$1)/1000</f>
        <v>1.4815754093516875</v>
      </c>
      <c r="X127" cm="1">
        <f t="array" ref="X127">[1]!propssi("S","Q",1,"T",Y127,$W$1)/1000</f>
        <v>1.7810389525929595</v>
      </c>
      <c r="Y127">
        <v>397</v>
      </c>
      <c r="Z127" cm="1">
        <f t="array" ref="Z127">[1]!propssi("S","Q",0,"T",AB127,$Z$1)/1000</f>
        <v>1.5438806521842183</v>
      </c>
      <c r="AA127" cm="1">
        <f t="array" ref="AA127">[1]!propssi("S","Q",1,"T",AB127,$Z$1)/1000</f>
        <v>1.8870111949373594</v>
      </c>
      <c r="AB127">
        <v>397</v>
      </c>
      <c r="AC127">
        <f t="shared" si="1"/>
        <v>124</v>
      </c>
    </row>
    <row r="128" spans="23:29" x14ac:dyDescent="0.3">
      <c r="W128" cm="1">
        <f t="array" ref="W128">[1]!propssi("S","Q",0,"T",Y128,$W$1)/1000</f>
        <v>1.4853591967785957</v>
      </c>
      <c r="X128" cm="1">
        <f t="array" ref="X128">[1]!propssi("S","Q",1,"T",Y128,$W$1)/1000</f>
        <v>1.7811868979047438</v>
      </c>
      <c r="Y128">
        <v>398</v>
      </c>
      <c r="Z128" cm="1">
        <f t="array" ref="Z128">[1]!propssi("S","Q",0,"T",AB128,$Z$1)/1000</f>
        <v>1.5480190232553297</v>
      </c>
      <c r="AA128" cm="1">
        <f t="array" ref="AA128">[1]!propssi("S","Q",1,"T",AB128,$Z$1)/1000</f>
        <v>1.8881974977492377</v>
      </c>
      <c r="AB128">
        <v>398</v>
      </c>
      <c r="AC128">
        <f t="shared" si="1"/>
        <v>125</v>
      </c>
    </row>
    <row r="129" spans="23:29" x14ac:dyDescent="0.3">
      <c r="W129" cm="1">
        <f t="array" ref="W129">[1]!propssi("S","Q",0,"T",Y129,$W$1)/1000</f>
        <v>1.4891509873111239</v>
      </c>
      <c r="X129" cm="1">
        <f t="array" ref="X129">[1]!propssi("S","Q",1,"T",Y129,$W$1)/1000</f>
        <v>1.7813167312721887</v>
      </c>
      <c r="Y129">
        <v>399</v>
      </c>
      <c r="Z129" cm="1">
        <f t="array" ref="Z129">[1]!propssi("S","Q",0,"T",AB129,$Z$1)/1000</f>
        <v>1.5521580499827643</v>
      </c>
      <c r="AA129" cm="1">
        <f t="array" ref="AA129">[1]!propssi("S","Q",1,"T",AB129,$Z$1)/1000</f>
        <v>1.8893781231427353</v>
      </c>
      <c r="AB129">
        <v>399</v>
      </c>
      <c r="AC129">
        <f t="shared" si="1"/>
        <v>126</v>
      </c>
    </row>
    <row r="130" spans="23:29" x14ac:dyDescent="0.3">
      <c r="W130" cm="1">
        <f t="array" ref="W130">[1]!propssi("S","Q",0,"T",Y130,$W$1)/1000</f>
        <v>1.4929513569097939</v>
      </c>
      <c r="X130" cm="1">
        <f t="array" ref="X130">[1]!propssi("S","Q",1,"T",Y130,$W$1)/1000</f>
        <v>1.7814275262029899</v>
      </c>
      <c r="Y130">
        <v>400</v>
      </c>
      <c r="Z130" cm="1">
        <f t="array" ref="Z130">[1]!propssi("S","Q",0,"T",AB130,$Z$1)/1000</f>
        <v>1.5562979229533069</v>
      </c>
      <c r="AA130" cm="1">
        <f t="array" ref="AA130">[1]!propssi("S","Q",1,"T",AB130,$Z$1)/1000</f>
        <v>1.8905527117988641</v>
      </c>
      <c r="AB130">
        <v>400</v>
      </c>
      <c r="AC130">
        <f t="shared" si="1"/>
        <v>127</v>
      </c>
    </row>
    <row r="131" spans="23:29" x14ac:dyDescent="0.3">
      <c r="W131" cm="1">
        <f t="array" ref="W131">[1]!propssi("S","Q",0,"T",Y131,$W$1)/1000</f>
        <v>1.4967609171419463</v>
      </c>
      <c r="X131" cm="1">
        <f t="array" ref="X131">[1]!propssi("S","Q",1,"T",Y131,$W$1)/1000</f>
        <v>1.7815182997705039</v>
      </c>
      <c r="Y131">
        <v>401</v>
      </c>
      <c r="Z131" cm="1">
        <f t="array" ref="Z131">[1]!propssi("S","Q",0,"T",AB131,$Z$1)/1000</f>
        <v>1.5604388392681021</v>
      </c>
      <c r="AA131" cm="1">
        <f t="array" ref="AA131">[1]!propssi("S","Q",1,"T",AB131,$Z$1)/1000</f>
        <v>1.8917208912801746</v>
      </c>
      <c r="AB131">
        <v>401</v>
      </c>
      <c r="AC131">
        <f t="shared" si="1"/>
        <v>128</v>
      </c>
    </row>
    <row r="132" spans="23:29" x14ac:dyDescent="0.3">
      <c r="W132" cm="1">
        <f t="array" ref="W132">[1]!propssi("S","Q",0,"T",Y132,$W$1)/1000</f>
        <v>1.5005803186077911</v>
      </c>
      <c r="X132" cm="1">
        <f t="array" ref="X132">[1]!propssi("S","Q",1,"T",Y132,$W$1)/1000</f>
        <v>1.7815880074377937</v>
      </c>
      <c r="Y132">
        <v>402</v>
      </c>
      <c r="Z132" cm="1">
        <f t="array" ref="Z132">[1]!propssi("S","Q",0,"T",AB132,$Z$1)/1000</f>
        <v>1.5645810029474849</v>
      </c>
      <c r="AA132" cm="1">
        <f t="array" ref="AA132">[1]!propssi("S","Q",1,"T",AB132,$Z$1)/1000</f>
        <v>1.8928822753422154</v>
      </c>
      <c r="AB132">
        <v>402</v>
      </c>
      <c r="AC132">
        <f t="shared" ref="AC132:AC195" si="2">AB132-273</f>
        <v>129</v>
      </c>
    </row>
    <row r="133" spans="23:29" x14ac:dyDescent="0.3">
      <c r="W133" cm="1">
        <f t="array" ref="W133">[1]!propssi("S","Q",0,"T",Y133,$W$1)/1000</f>
        <v>1.5044102548023932</v>
      </c>
      <c r="X133" cm="1">
        <f t="array" ref="X133">[1]!propssi("S","Q",1,"T",Y133,$W$1)/1000</f>
        <v>1.7816355372589621</v>
      </c>
      <c r="Y133">
        <v>403</v>
      </c>
      <c r="Z133" cm="1">
        <f t="array" ref="Z133">[1]!propssi("S","Q",0,"T",AB133,$Z$1)/1000</f>
        <v>1.5687246253674048</v>
      </c>
      <c r="AA133" cm="1">
        <f t="array" ref="AA133">[1]!propssi("S","Q",1,"T",AB133,$Z$1)/1000</f>
        <v>1.8940364631870512</v>
      </c>
      <c r="AB133">
        <v>403</v>
      </c>
      <c r="AC133">
        <f t="shared" si="2"/>
        <v>130</v>
      </c>
    </row>
    <row r="134" spans="23:29" x14ac:dyDescent="0.3">
      <c r="W134" cm="1">
        <f t="array" ref="W134">[1]!propssi("S","Q",0,"T",Y134,$W$1)/1000</f>
        <v>1.5082514664830589</v>
      </c>
      <c r="X134" cm="1">
        <f t="array" ref="X134">[1]!propssi("S","Q",1,"T",Y134,$W$1)/1000</f>
        <v>1.781659703362541</v>
      </c>
      <c r="Y134">
        <v>404</v>
      </c>
      <c r="Z134" cm="1">
        <f t="array" ref="Z134">[1]!propssi("S","Q",0,"T",AB134,$Z$1)/1000</f>
        <v>1.5728699257305281</v>
      </c>
      <c r="AA134" cm="1">
        <f t="array" ref="AA134">[1]!propssi("S","Q",1,"T",AB134,$Z$1)/1000</f>
        <v>1.895183038653101</v>
      </c>
      <c r="AB134">
        <v>404</v>
      </c>
      <c r="AC134">
        <f t="shared" si="2"/>
        <v>131</v>
      </c>
    </row>
    <row r="135" spans="23:29" x14ac:dyDescent="0.3">
      <c r="W135" cm="1">
        <f t="array" ref="W135">[1]!propssi("S","Q",0,"T",Y135,$W$1)/1000</f>
        <v>1.5121047466250273</v>
      </c>
      <c r="X135" cm="1">
        <f t="array" ref="X135">[1]!propssi("S","Q",1,"T",Y135,$W$1)/1000</f>
        <v>1.7816592386038583</v>
      </c>
      <c r="Y135">
        <v>405</v>
      </c>
      <c r="Z135" cm="1">
        <f t="array" ref="Z135">[1]!propssi("S","Q",0,"T",AB135,$Z$1)/1000</f>
        <v>1.5770171315754788</v>
      </c>
      <c r="AA135" cm="1">
        <f t="array" ref="AA135">[1]!propssi("S","Q",1,"T",AB135,$Z$1)/1000</f>
        <v>1.896321569334914</v>
      </c>
      <c r="AB135">
        <v>405</v>
      </c>
      <c r="AC135">
        <f t="shared" si="2"/>
        <v>132</v>
      </c>
    </row>
    <row r="136" spans="23:29" x14ac:dyDescent="0.3">
      <c r="W136" cm="1">
        <f t="array" ref="W136">[1]!propssi("S","Q",0,"T",Y136,$W$1)/1000</f>
        <v>1.5159709460647892</v>
      </c>
      <c r="X136" cm="1">
        <f t="array" ref="X136">[1]!propssi("S","Q",1,"T",Y136,$W$1)/1000</f>
        <v>1.7816327862515684</v>
      </c>
      <c r="Y136">
        <v>406</v>
      </c>
      <c r="Z136" cm="1">
        <f t="array" ref="Z136">[1]!propssi("S","Q",0,"T",AB136,$Z$1)/1000</f>
        <v>1.5811664793281552</v>
      </c>
      <c r="AA136" cm="1">
        <f t="array" ref="AA136">[1]!propssi("S","Q",1,"T",AB136,$Z$1)/1000</f>
        <v>1.8974516056258681</v>
      </c>
      <c r="AB136">
        <v>406</v>
      </c>
      <c r="AC136">
        <f t="shared" si="2"/>
        <v>133</v>
      </c>
    </row>
    <row r="137" spans="23:29" x14ac:dyDescent="0.3">
      <c r="W137" cm="1">
        <f t="array" ref="W137">[1]!propssi("S","Q",0,"T",Y137,$W$1)/1000</f>
        <v>1.5198509799506008</v>
      </c>
      <c r="X137" cm="1">
        <f t="array" ref="X137">[1]!propssi("S","Q",1,"T",Y137,$W$1)/1000</f>
        <v>1.7815788905465797</v>
      </c>
      <c r="Y137">
        <v>407</v>
      </c>
      <c r="Z137" cm="1">
        <f t="array" ref="Z137">[1]!propssi("S","Q",0,"T",AB137,$Z$1)/1000</f>
        <v>1.5853182148994596</v>
      </c>
      <c r="AA137" cm="1">
        <f t="array" ref="AA137">[1]!propssi("S","Q",1,"T",AB137,$Z$1)/1000</f>
        <v>1.8985726796758251</v>
      </c>
      <c r="AB137">
        <v>407</v>
      </c>
      <c r="AC137">
        <f t="shared" si="2"/>
        <v>134</v>
      </c>
    </row>
    <row r="138" spans="23:29" x14ac:dyDescent="0.3">
      <c r="W138" cm="1">
        <f t="array" ref="W138">[1]!propssi("S","Q",0,"T",Y138,$W$1)/1000</f>
        <v>1.5237458351449489</v>
      </c>
      <c r="X138" cm="1">
        <f t="array" ref="X138">[1]!propssi("S","Q",1,"T",Y138,$W$1)/1000</f>
        <v>1.781495985938494</v>
      </c>
      <c r="Y138">
        <v>408</v>
      </c>
      <c r="Z138" cm="1">
        <f t="array" ref="Z138">[1]!propssi("S","Q",0,"T",AB138,$Z$1)/1000</f>
        <v>1.5894725943344181</v>
      </c>
      <c r="AA138" cm="1">
        <f t="array" ref="AA138">[1]!propssi("S","Q",1,"T",AB138,$Z$1)/1000</f>
        <v>1.8996843042549285</v>
      </c>
      <c r="AB138">
        <v>408</v>
      </c>
      <c r="AC138">
        <f t="shared" si="2"/>
        <v>135</v>
      </c>
    </row>
    <row r="139" spans="23:29" x14ac:dyDescent="0.3">
      <c r="W139" cm="1">
        <f t="array" ref="W139">[1]!propssi("S","Q",0,"T",Y139,$W$1)/1000</f>
        <v>1.5276565787551482</v>
      </c>
      <c r="X139" cm="1">
        <f t="array" ref="X139">[1]!propssi("S","Q",1,"T",Y139,$W$1)/1000</f>
        <v>1.7813823847632333</v>
      </c>
      <c r="Y139">
        <v>409</v>
      </c>
      <c r="Z139" cm="1">
        <f t="array" ref="Z139">[1]!propssi("S","Q",0,"T",AB139,$Z$1)/1000</f>
        <v>1.5936298845181895</v>
      </c>
      <c r="AA139" cm="1">
        <f t="array" ref="AA139">[1]!propssi("S","Q",1,"T",AB139,$Z$1)/1000</f>
        <v>1.9007859715136741</v>
      </c>
      <c r="AB139">
        <v>409</v>
      </c>
      <c r="AC139">
        <f t="shared" si="2"/>
        <v>136</v>
      </c>
    </row>
    <row r="140" spans="23:29" x14ac:dyDescent="0.3">
      <c r="W140" cm="1">
        <f t="array" ref="W140">[1]!propssi("S","Q",0,"T",Y140,$W$1)/1000</f>
        <v>1.5315843680077781</v>
      </c>
      <c r="X140" cm="1">
        <f t="array" ref="X140">[1]!propssi("S","Q",1,"T",Y140,$W$1)/1000</f>
        <v>1.7812362630737861</v>
      </c>
      <c r="Y140">
        <v>410</v>
      </c>
      <c r="Z140" cm="1">
        <f t="array" ref="Z140">[1]!propssi("S","Q",0,"T",AB140,$Z$1)/1000</f>
        <v>1.5977903639453366</v>
      </c>
      <c r="AA140" cm="1">
        <f t="array" ref="AA140">[1]!propssi("S","Q",1,"T",AB140,$Z$1)/1000</f>
        <v>1.9018771516280648</v>
      </c>
      <c r="AB140">
        <v>410</v>
      </c>
      <c r="AC140">
        <f t="shared" si="2"/>
        <v>137</v>
      </c>
    </row>
    <row r="141" spans="23:29" x14ac:dyDescent="0.3">
      <c r="W141" cm="1">
        <f t="array" ref="W141">[1]!propssi("S","Q",0,"T",Y141,$W$1)/1000</f>
        <v>1.5355304617326928</v>
      </c>
      <c r="X141" cm="1">
        <f t="array" ref="X141">[1]!propssi("S","Q",1,"T",Y141,$W$1)/1000</f>
        <v>1.7810556442704455</v>
      </c>
      <c r="Y141">
        <v>411</v>
      </c>
      <c r="Z141" cm="1">
        <f t="array" ref="Z141">[1]!propssi("S","Q",0,"T",AB141,$Z$1)/1000</f>
        <v>1.6019543235594369</v>
      </c>
      <c r="AA141" cm="1">
        <f t="array" ref="AA141">[1]!propssi("S","Q",1,"T",AB141,$Z$1)/1000</f>
        <v>1.9029572913173518</v>
      </c>
      <c r="AB141">
        <v>411</v>
      </c>
      <c r="AC141">
        <f t="shared" si="2"/>
        <v>138</v>
      </c>
    </row>
    <row r="142" spans="23:29" x14ac:dyDescent="0.3">
      <c r="W142" cm="1">
        <f t="array" ref="W142">[1]!propssi("S","Q",0,"T",Y142,$W$1)/1000</f>
        <v>1.5394962337861589</v>
      </c>
      <c r="X142" cm="1">
        <f t="array" ref="X142">[1]!propssi("S","Q",1,"T",Y142,$W$1)/1000</f>
        <v>1.7808383800938807</v>
      </c>
      <c r="Y142">
        <v>412</v>
      </c>
      <c r="Z142" cm="1">
        <f t="array" ref="Z142">[1]!propssi("S","Q",0,"T",AB142,$Z$1)/1000</f>
        <v>1.6061220676711774</v>
      </c>
      <c r="AA142" cm="1">
        <f t="array" ref="AA142">[1]!propssi("S","Q",1,"T",AB142,$Z$1)/1000</f>
        <v>1.9040258122201241</v>
      </c>
      <c r="AB142">
        <v>412</v>
      </c>
      <c r="AC142">
        <f t="shared" si="2"/>
        <v>139</v>
      </c>
    </row>
    <row r="143" spans="23:29" x14ac:dyDescent="0.3">
      <c r="W143" cm="1">
        <f t="array" ref="W143">[1]!propssi("S","Q",0,"T",Y143,$W$1)/1000</f>
        <v>1.5434831888247296</v>
      </c>
      <c r="X143" cm="1">
        <f t="array" ref="X143">[1]!propssi("S","Q",1,"T",Y143,$W$1)/1000</f>
        <v>1.7805821284375538</v>
      </c>
      <c r="Y143">
        <v>413</v>
      </c>
      <c r="Z143" cm="1">
        <f t="array" ref="Z143">[1]!propssi("S","Q",0,"T",AB143,$Z$1)/1000</f>
        <v>1.6102939149641531</v>
      </c>
      <c r="AA143" cm="1">
        <f t="array" ref="AA143">[1]!propssi("S","Q",1,"T",AB143,$Z$1)/1000</f>
        <v>1.9050821091127121</v>
      </c>
      <c r="AB143">
        <v>413</v>
      </c>
      <c r="AC143">
        <f t="shared" si="2"/>
        <v>140</v>
      </c>
    </row>
    <row r="144" spans="23:29" x14ac:dyDescent="0.3">
      <c r="W144" cm="1">
        <f t="array" ref="W144">[1]!propssi("S","Q",0,"T",Y144,$W$1)/1000</f>
        <v>1.5474929809478202</v>
      </c>
      <c r="X144" cm="1">
        <f t="array" ref="X144">[1]!propssi("S","Q",1,"T",Y144,$W$1)/1000</f>
        <v>1.7802843272984028</v>
      </c>
      <c r="Y144">
        <v>414</v>
      </c>
      <c r="Z144" cm="1">
        <f t="array" ref="Z144">[1]!propssi("S","Q",0,"T",AB144,$Z$1)/1000</f>
        <v>1.6144701995989879</v>
      </c>
      <c r="AA144" cm="1">
        <f t="array" ref="AA144">[1]!propssi("S","Q",1,"T",AB144,$Z$1)/1000</f>
        <v>1.9061255479516106</v>
      </c>
      <c r="AB144">
        <v>414</v>
      </c>
      <c r="AC144">
        <f t="shared" si="2"/>
        <v>141</v>
      </c>
    </row>
    <row r="145" spans="23:29" x14ac:dyDescent="0.3">
      <c r="W145" cm="1">
        <f t="array" ref="W145">[1]!propssi("S","Q",0,"T",Y145,$W$1)/1000</f>
        <v>1.5515274358660895</v>
      </c>
      <c r="X145" cm="1">
        <f t="array" ref="X145">[1]!propssi("S","Q",1,"T",Y145,$W$1)/1000</f>
        <v>1.7799421640048965</v>
      </c>
      <c r="Y145">
        <v>415</v>
      </c>
      <c r="Z145" cm="1">
        <f t="array" ref="Z145">[1]!propssi("S","Q",0,"T",AB145,$Z$1)/1000</f>
        <v>1.6186512724278233</v>
      </c>
      <c r="AA145" cm="1">
        <f t="array" ref="AA145">[1]!propssi("S","Q",1,"T",AB145,$Z$1)/1000</f>
        <v>1.9071554637190777</v>
      </c>
      <c r="AB145">
        <v>415</v>
      </c>
      <c r="AC145">
        <f t="shared" si="2"/>
        <v>142</v>
      </c>
    </row>
    <row r="146" spans="23:29" x14ac:dyDescent="0.3">
      <c r="W146" cm="1">
        <f t="array" ref="W146">[1]!propssi("S","Q",0,"T",Y146,$W$1)/1000</f>
        <v>1.5555885774365181</v>
      </c>
      <c r="X146" cm="1">
        <f t="array" ref="X146">[1]!propssi("S","Q",1,"T",Y146,$W$1)/1000</f>
        <v>1.7795525386250637</v>
      </c>
      <c r="Y146">
        <v>416</v>
      </c>
      <c r="Z146" cm="1">
        <f t="array" ref="Z146">[1]!propssi("S","Q",0,"T",AB146,$Z$1)/1000</f>
        <v>1.6228375023331132</v>
      </c>
      <c r="AA146" cm="1">
        <f t="array" ref="AA146">[1]!propssi("S","Q",1,"T",AB146,$Z$1)/1000</f>
        <v>1.9081711580481109</v>
      </c>
      <c r="AB146">
        <v>416</v>
      </c>
      <c r="AC146">
        <f t="shared" si="2"/>
        <v>143</v>
      </c>
    </row>
    <row r="147" spans="23:29" x14ac:dyDescent="0.3">
      <c r="W147" cm="1">
        <f t="array" ref="W147">[1]!propssi("S","Q",0,"T",Y147,$W$1)/1000</f>
        <v>1.5596786596503731</v>
      </c>
      <c r="X147" cm="1">
        <f t="array" ref="X147">[1]!propssi("S","Q",1,"T",Y147,$W$1)/1000</f>
        <v>1.7791120201425861</v>
      </c>
      <c r="Y147">
        <v>417</v>
      </c>
      <c r="Z147" cm="1">
        <f t="array" ref="Z147">[1]!propssi("S","Q",0,"T",AB147,$Z$1)/1000</f>
        <v>1.6270292777068047</v>
      </c>
      <c r="AA147" cm="1">
        <f t="array" ref="AA147">[1]!propssi("S","Q",1,"T",AB147,$Z$1)/1000</f>
        <v>1.9091718965994557</v>
      </c>
      <c r="AB147">
        <v>417</v>
      </c>
      <c r="AC147">
        <f t="shared" si="2"/>
        <v>144</v>
      </c>
    </row>
    <row r="148" spans="23:29" x14ac:dyDescent="0.3">
      <c r="W148" cm="1">
        <f t="array" ref="W148">[1]!propssi("S","Q",0,"T",Y148,$W$1)/1000</f>
        <v>1.5638002054912665</v>
      </c>
      <c r="X148" cm="1">
        <f t="array" ref="X148">[1]!propssi("S","Q",1,"T",Y148,$W$1)/1000</f>
        <v>1.7786167935658663</v>
      </c>
      <c r="Y148">
        <v>418</v>
      </c>
      <c r="Z148" cm="1">
        <f t="array" ref="Z148">[1]!propssi("S","Q",0,"T",AB148,$Z$1)/1000</f>
        <v>1.6312270080883653</v>
      </c>
      <c r="AA148" cm="1">
        <f t="array" ref="AA148">[1]!propssi("S","Q",1,"T",AB148,$Z$1)/1000</f>
        <v>1.9101569061591845</v>
      </c>
      <c r="AB148">
        <v>418</v>
      </c>
      <c r="AC148">
        <f t="shared" si="2"/>
        <v>145</v>
      </c>
    </row>
    <row r="149" spans="23:29" x14ac:dyDescent="0.3">
      <c r="W149" cm="1">
        <f t="array" ref="W149">[1]!propssi("S","Q",0,"T",Y149,$W$1)/1000</f>
        <v>1.5679560545327833</v>
      </c>
      <c r="X149" cm="1">
        <f t="array" ref="X149">[1]!propssi("S","Q",1,"T",Y149,$W$1)/1000</f>
        <v>1.7780625955592357</v>
      </c>
      <c r="Y149">
        <v>419</v>
      </c>
      <c r="Z149" cm="1">
        <f t="array" ref="Z149">[1]!propssi("S","Q",0,"T",AB149,$Z$1)/1000</f>
        <v>1.6354311259832701</v>
      </c>
      <c r="AA149" cm="1">
        <f t="array" ref="AA149">[1]!propssi("S","Q",1,"T",AB149,$Z$1)/1000</f>
        <v>1.9111253714205556</v>
      </c>
      <c r="AB149">
        <v>419</v>
      </c>
      <c r="AC149">
        <f t="shared" si="2"/>
        <v>146</v>
      </c>
    </row>
    <row r="150" spans="23:29" x14ac:dyDescent="0.3">
      <c r="W150" cm="1">
        <f t="array" ref="W150">[1]!propssi("S","Q",0,"T",Y150,$W$1)/1000</f>
        <v>1.5721494217710987</v>
      </c>
      <c r="X150" cm="1">
        <f t="array" ref="X150">[1]!propssi("S","Q",1,"T",Y150,$W$1)/1000</f>
        <v>1.7774446353918021</v>
      </c>
      <c r="Y150">
        <v>420</v>
      </c>
      <c r="Z150" cm="1">
        <f t="array" ref="Z150">[1]!propssi("S","Q",0,"T",AB150,$Z$1)/1000</f>
        <v>1.6396420888869216</v>
      </c>
      <c r="AA150" cm="1">
        <f t="array" ref="AA150">[1]!propssi("S","Q",1,"T",AB150,$Z$1)/1000</f>
        <v>1.9120764314080205</v>
      </c>
      <c r="AB150">
        <v>420</v>
      </c>
      <c r="AC150">
        <f t="shared" si="2"/>
        <v>147</v>
      </c>
    </row>
    <row r="151" spans="23:29" x14ac:dyDescent="0.3">
      <c r="W151" cm="1">
        <f t="array" ref="W151">[1]!propssi("S","Q",0,"T",Y151,$W$1)/1000</f>
        <v>1.5763839710668965</v>
      </c>
      <c r="X151" cm="1">
        <f t="array" ref="X151">[1]!propssi("S","Q",1,"T",Y151,$W$1)/1000</f>
        <v>1.776757496889402</v>
      </c>
      <c r="Y151">
        <v>421</v>
      </c>
      <c r="Z151" cm="1">
        <f t="array" ref="Z151">[1]!propssi("S","Q",0,"T",AB151,$Z$1)/1000</f>
        <v>1.6438603815433095</v>
      </c>
      <c r="AA151" cm="1">
        <f t="array" ref="AA151">[1]!propssi("S","Q",1,"T",AB151,$Z$1)/1000</f>
        <v>1.9130091754944221</v>
      </c>
      <c r="AB151">
        <v>421</v>
      </c>
      <c r="AC151">
        <f t="shared" si="2"/>
        <v>148</v>
      </c>
    </row>
    <row r="152" spans="23:29" x14ac:dyDescent="0.3">
      <c r="W152" cm="1">
        <f t="array" ref="W152">[1]!propssi("S","Q",0,"T",Y152,$W$1)/1000</f>
        <v>1.5806639078244011</v>
      </c>
      <c r="X152" cm="1">
        <f t="array" ref="X152">[1]!propssi("S","Q",1,"T",Y152,$W$1)/1000</f>
        <v>1.775995015499457</v>
      </c>
      <c r="Y152">
        <v>422</v>
      </c>
      <c r="Z152" cm="1">
        <f t="array" ref="Z152">[1]!propssi("S","Q",0,"T",AB152,$Z$1)/1000</f>
        <v>1.6480865184727305</v>
      </c>
      <c r="AA152" cm="1">
        <f t="array" ref="AA152">[1]!propssi("S","Q",1,"T",AB152,$Z$1)/1000</f>
        <v>1.913922638954241</v>
      </c>
      <c r="AB152">
        <v>422</v>
      </c>
      <c r="AC152">
        <f t="shared" si="2"/>
        <v>149</v>
      </c>
    </row>
    <row r="153" spans="23:29" x14ac:dyDescent="0.3">
      <c r="W153" cm="1">
        <f t="array" ref="W153">[1]!propssi("S","Q",0,"T",Y153,$W$1)/1000</f>
        <v>1.5849940973538441</v>
      </c>
      <c r="X153" cm="1">
        <f t="array" ref="X153">[1]!propssi("S","Q",1,"T",Y153,$W$1)/1000</f>
        <v>1.7751501223031105</v>
      </c>
      <c r="Y153">
        <v>423</v>
      </c>
      <c r="Z153" cm="1">
        <f t="array" ref="Z153">[1]!propssi("S","Q",0,"T",AB153,$Z$1)/1000</f>
        <v>1.6523210468089722</v>
      </c>
      <c r="AA153" cm="1">
        <f t="array" ref="AA153">[1]!propssi("S","Q",1,"T",AB153,$Z$1)/1000</f>
        <v>1.91481579798583</v>
      </c>
      <c r="AB153">
        <v>423</v>
      </c>
      <c r="AC153">
        <f t="shared" si="2"/>
        <v>150</v>
      </c>
    </row>
    <row r="154" spans="23:29" x14ac:dyDescent="0.3">
      <c r="W154" cm="1">
        <f t="array" ref="W154">[1]!propssi("S","Q",0,"T",Y154,$W$1)/1000</f>
        <v>1.5893802180526375</v>
      </c>
      <c r="X154" cm="1">
        <f t="array" ref="X154">[1]!propssi("S","Q",1,"T",Y154,$W$1)/1000</f>
        <v>1.7742146434618915</v>
      </c>
      <c r="Y154">
        <v>424</v>
      </c>
      <c r="Z154" cm="1">
        <f t="array" ref="Z154">[1]!propssi("S","Q",0,"T",AB154,$Z$1)/1000</f>
        <v>1.6565645494937329</v>
      </c>
      <c r="AA154" cm="1">
        <f t="array" ref="AA154">[1]!propssi("S","Q",1,"T",AB154,$Z$1)/1000</f>
        <v>1.9156875641236684</v>
      </c>
      <c r="AB154">
        <v>424</v>
      </c>
      <c r="AC154">
        <f t="shared" si="2"/>
        <v>151</v>
      </c>
    </row>
    <row r="155" spans="23:29" x14ac:dyDescent="0.3">
      <c r="W155" cm="1">
        <f t="array" ref="W155">[1]!propssi("S","Q",0,"T",Y155,$W$1)/1000</f>
        <v>1.5938289626003692</v>
      </c>
      <c r="X155" cm="1">
        <f t="array" ref="X155">[1]!propssi("S","Q",1,"T",Y155,$W$1)/1000</f>
        <v>1.773179038559739</v>
      </c>
      <c r="Y155">
        <v>425</v>
      </c>
      <c r="Z155" cm="1">
        <f t="array" ref="Z155">[1]!propssi("S","Q",0,"T",AB155,$Z$1)/1000</f>
        <v>1.6608176488850588</v>
      </c>
      <c r="AA155" cm="1">
        <f t="array" ref="AA155">[1]!propssi("S","Q",1,"T",AB155,$Z$1)/1000</f>
        <v>1.916536777947361</v>
      </c>
      <c r="AB155">
        <v>425</v>
      </c>
      <c r="AC155">
        <f t="shared" si="2"/>
        <v>152</v>
      </c>
    </row>
    <row r="156" spans="23:29" x14ac:dyDescent="0.3">
      <c r="W156" cm="1">
        <f t="array" ref="W156">[1]!propssi("S","Q",0,"T",Y156,$W$1)/1000</f>
        <v>1.5983483066377104</v>
      </c>
      <c r="X156" cm="1">
        <f t="array" ref="X156">[1]!propssi("S","Q",1,"T",Y156,$W$1)/1000</f>
        <v>1.7720320535783629</v>
      </c>
      <c r="Y156">
        <v>426</v>
      </c>
      <c r="Z156" cm="1">
        <f t="array" ref="Z156">[1]!propssi("S","Q",0,"T",AB156,$Z$1)/1000</f>
        <v>1.6650810108474141</v>
      </c>
      <c r="AA156" cm="1">
        <f t="array" ref="AA156">[1]!propssi("S","Q",1,"T",AB156,$Z$1)/1000</f>
        <v>1.9173622019763794</v>
      </c>
      <c r="AB156">
        <v>426</v>
      </c>
      <c r="AC156">
        <f t="shared" si="2"/>
        <v>153</v>
      </c>
    </row>
    <row r="157" spans="23:29" x14ac:dyDescent="0.3">
      <c r="W157" cm="1">
        <f t="array" ref="W157">[1]!propssi("S","Q",0,"T",Y157,$W$1)/1000</f>
        <v>1.6029478743559193</v>
      </c>
      <c r="X157" cm="1">
        <f t="array" ref="X157">[1]!propssi("S","Q",1,"T",Y157,$W$1)/1000</f>
        <v>1.7707602520665813</v>
      </c>
      <c r="Y157">
        <v>427</v>
      </c>
      <c r="Z157" cm="1">
        <f t="array" ref="Z157">[1]!propssi("S","Q",0,"T",AB157,$Z$1)/1000</f>
        <v>1.6693553494046007</v>
      </c>
      <c r="AA157" cm="1">
        <f t="array" ref="AA157">[1]!propssi("S","Q",1,"T",AB157,$Z$1)/1000</f>
        <v>1.9181625126181685</v>
      </c>
      <c r="AB157">
        <v>427</v>
      </c>
      <c r="AC157">
        <f t="shared" si="2"/>
        <v>154</v>
      </c>
    </row>
    <row r="158" spans="23:29" x14ac:dyDescent="0.3">
      <c r="W158" cm="1">
        <f t="array" ref="W158">[1]!propssi("S","Q",0,"T",Y158,$W$1)/1000</f>
        <v>1.6076394466979418</v>
      </c>
      <c r="X158" cm="1">
        <f t="array" ref="X158">[1]!propssi("S","Q",1,"T",Y158,$W$1)/1000</f>
        <v>1.7693473682966543</v>
      </c>
      <c r="Y158">
        <v>428</v>
      </c>
      <c r="Z158" cm="1">
        <f t="array" ref="Z158">[1]!propssi("S","Q",0,"T",AB158,$Z$1)/1000</f>
        <v>1.6736414320532316</v>
      </c>
      <c r="AA158" cm="1">
        <f t="array" ref="AA158">[1]!propssi("S","Q",1,"T",AB158,$Z$1)/1000</f>
        <v>1.9189362910105783</v>
      </c>
      <c r="AB158">
        <v>428</v>
      </c>
      <c r="AC158">
        <f t="shared" si="2"/>
        <v>155</v>
      </c>
    </row>
    <row r="159" spans="23:29" x14ac:dyDescent="0.3">
      <c r="W159" cm="1">
        <f t="array" ref="W159">[1]!propssi("S","Q",0,"T",Y159,$W$1)/1000</f>
        <v>1.612437685389551</v>
      </c>
      <c r="X159" cm="1">
        <f t="array" ref="X159">[1]!propssi("S","Q",1,"T",Y159,$W$1)/1000</f>
        <v>1.7677733930231911</v>
      </c>
      <c r="Y159">
        <v>429</v>
      </c>
      <c r="Z159" cm="1">
        <f t="array" ref="Z159">[1]!propssi("S","Q",0,"T",AB159,$Z$1)/1000</f>
        <v>1.6779400858552109</v>
      </c>
      <c r="AA159" cm="1">
        <f t="array" ref="AA159">[1]!propssi("S","Q",1,"T",AB159,$Z$1)/1000</f>
        <v>1.9196820125667786</v>
      </c>
      <c r="AB159">
        <v>429</v>
      </c>
      <c r="AC159">
        <f t="shared" si="2"/>
        <v>156</v>
      </c>
    </row>
    <row r="160" spans="23:29" x14ac:dyDescent="0.3">
      <c r="W160" cm="1">
        <f t="array" ref="W160">[1]!propssi("S","Q",0,"T",Y160,$W$1)/1000</f>
        <v>1.6173611943994382</v>
      </c>
      <c r="X160" cm="1">
        <f t="array" ref="X160">[1]!propssi("S","Q",1,"T",Y160,$W$1)/1000</f>
        <v>1.7660132445969654</v>
      </c>
      <c r="Y160">
        <v>430</v>
      </c>
      <c r="Z160" cm="1">
        <f t="array" ref="Z160">[1]!propssi("S","Q",0,"T",AB160,$Z$1)/1000</f>
        <v>1.6822522044535253</v>
      </c>
      <c r="AA160" cm="1">
        <f t="array" ref="AA160">[1]!propssi("S","Q",1,"T",AB160,$Z$1)/1000</f>
        <v>1.9203980349896765</v>
      </c>
      <c r="AB160">
        <v>430</v>
      </c>
      <c r="AC160">
        <f t="shared" si="2"/>
        <v>157</v>
      </c>
    </row>
    <row r="161" spans="23:29" x14ac:dyDescent="0.3">
      <c r="W161" cm="1">
        <f t="array" ref="W161">[1]!propssi("S","Q",0,"T",Y161,$W$1)/1000</f>
        <v>1.6224341294517362</v>
      </c>
      <c r="X161" cm="1">
        <f t="array" ref="X161">[1]!propssi("S","Q",1,"T",Y161,$W$1)/1000</f>
        <v>1.7640347726465597</v>
      </c>
      <c r="Y161">
        <v>431</v>
      </c>
      <c r="Z161" cm="1">
        <f t="array" ref="Z161">[1]!propssi("S","Q",0,"T",AB161,$Z$1)/1000</f>
        <v>1.686578756188146</v>
      </c>
      <c r="AA161" cm="1">
        <f t="array" ref="AA161">[1]!propssi("S","Q",1,"T",AB161,$Z$1)/1000</f>
        <v>1.9210825844713568</v>
      </c>
      <c r="AB161">
        <v>431</v>
      </c>
      <c r="AC161">
        <f t="shared" si="2"/>
        <v>158</v>
      </c>
    </row>
    <row r="162" spans="23:29" x14ac:dyDescent="0.3">
      <c r="W162" cm="1">
        <f t="array" ref="W162">[1]!propssi("S","Q",0,"T",Y162,$W$1)/1000</f>
        <v>1.6276887390978472</v>
      </c>
      <c r="X162" cm="1">
        <f t="array" ref="X162">[1]!propssi("S","Q",1,"T",Y162,$W$1)/1000</f>
        <v>1.7617956385578011</v>
      </c>
      <c r="Y162">
        <v>432</v>
      </c>
      <c r="Z162" cm="1">
        <f t="array" ref="Z162">[1]!propssi("S","Q",0,"T",AB162,$Z$1)/1000</f>
        <v>1.6909207935303632</v>
      </c>
      <c r="AA162" cm="1">
        <f t="array" ref="AA162">[1]!propssi("S","Q",1,"T",AB162,$Z$1)/1000</f>
        <v>1.921733739727747</v>
      </c>
      <c r="AB162">
        <v>432</v>
      </c>
      <c r="AC162">
        <f t="shared" si="2"/>
        <v>159</v>
      </c>
    </row>
    <row r="163" spans="23:29" x14ac:dyDescent="0.3">
      <c r="W163" cm="1">
        <f t="array" ref="W163">[1]!propssi("S","Q",0,"T",Y163,$W$1)/1000</f>
        <v>1.6331695790984819</v>
      </c>
      <c r="X163" cm="1">
        <f t="array" ref="X163">[1]!propssi("S","Q",1,"T",Y163,$W$1)/1000</f>
        <v>1.7592382008346104</v>
      </c>
      <c r="Y163">
        <v>433</v>
      </c>
      <c r="Z163" cm="1">
        <f t="array" ref="Z163">[1]!propssi("S","Q",0,"T",AB163,$Z$1)/1000</f>
        <v>1.6952794641064792</v>
      </c>
      <c r="AA163" cm="1">
        <f t="array" ref="AA163">[1]!propssi("S","Q",1,"T",AB163,$Z$1)/1000</f>
        <v>1.9223494134353811</v>
      </c>
      <c r="AB163">
        <v>433</v>
      </c>
      <c r="AC163">
        <f t="shared" si="2"/>
        <v>160</v>
      </c>
    </row>
    <row r="164" spans="23:29" x14ac:dyDescent="0.3">
      <c r="W164" cm="1">
        <f t="array" ref="W164">[1]!propssi("S","Q",0,"T",Y164,$W$1)/1000</f>
        <v>1.6389409459654878</v>
      </c>
      <c r="X164" cm="1">
        <f t="array" ref="X164">[1]!propssi("S","Q",1,"T",Y164,$W$1)/1000</f>
        <v>1.7562806104196662</v>
      </c>
      <c r="Y164">
        <v>434</v>
      </c>
      <c r="Z164" cm="1">
        <f t="array" ref="Z164">[1]!propssi("S","Q",0,"T",AB164,$Z$1)/1000</f>
        <v>1.6996560236501452</v>
      </c>
      <c r="AA164" cm="1">
        <f t="array" ref="AA164">[1]!propssi("S","Q",1,"T",AB164,$Z$1)/1000</f>
        <v>1.9229273305302033</v>
      </c>
      <c r="AB164">
        <v>434</v>
      </c>
      <c r="AC164">
        <f t="shared" si="2"/>
        <v>161</v>
      </c>
    </row>
    <row r="165" spans="23:29" x14ac:dyDescent="0.3">
      <c r="W165" cm="1">
        <f t="array" ref="W165">[1]!propssi("S","Q",0,"T",Y165,$W$1)/1000</f>
        <v>1.6451010727956192</v>
      </c>
      <c r="X165" cm="1">
        <f t="array" ref="X165">[1]!propssi("S","Q",1,"T",Y165,$W$1)/1000</f>
        <v>1.7528000589997077</v>
      </c>
      <c r="Y165">
        <v>435</v>
      </c>
      <c r="Z165" cm="1">
        <f t="array" ref="Z165">[1]!propssi("S","Q",0,"T",AB165,$Z$1)/1000</f>
        <v>1.7040518513111436</v>
      </c>
      <c r="AA165" cm="1">
        <f t="array" ref="AA165">[1]!propssi("S","Q",1,"T",AB165,$Z$1)/1000</f>
        <v>1.9234650026892821</v>
      </c>
      <c r="AB165">
        <v>435</v>
      </c>
      <c r="AC165">
        <f t="shared" si="2"/>
        <v>162</v>
      </c>
    </row>
    <row r="166" spans="23:29" x14ac:dyDescent="0.3">
      <c r="W166" cm="1">
        <f t="array" ref="W166">[1]!propssi("S","Q",0,"T",Y166,$W$1)/1000</f>
        <v>1.6518123014955362</v>
      </c>
      <c r="X166" cm="1">
        <f t="array" ref="X166">[1]!propssi("S","Q",1,"T",Y166,$W$1)/1000</f>
        <v>1.7485977986326353</v>
      </c>
      <c r="Y166">
        <v>436</v>
      </c>
      <c r="Z166" cm="1">
        <f t="array" ref="Z166">[1]!propssi("S","Q",0,"T",AB166,$Z$1)/1000</f>
        <v>1.7084684678647315</v>
      </c>
      <c r="AA166" cm="1">
        <f t="array" ref="AA166">[1]!propssi("S","Q",1,"T",AB166,$Z$1)/1000</f>
        <v>1.9239596981345852</v>
      </c>
      <c r="AB166">
        <v>436</v>
      </c>
      <c r="AC166">
        <f t="shared" si="2"/>
        <v>163</v>
      </c>
    </row>
    <row r="167" spans="23:29" x14ac:dyDescent="0.3">
      <c r="W167" cm="1">
        <f t="array" ref="W167">[1]!propssi("S","Q",0,"T",Y167,$W$1)/1000</f>
        <v>1.6593758699874803</v>
      </c>
      <c r="X167" cm="1">
        <f t="array" ref="X167">[1]!propssi("S","Q",1,"T",Y167,$W$1)/1000</f>
        <v>1.7433142745833841</v>
      </c>
      <c r="Y167">
        <v>437</v>
      </c>
      <c r="Z167" cm="1">
        <f t="array" ref="Z167">[1]!propssi("S","Q",0,"T",AB167,$Z$1)/1000</f>
        <v>1.7129075575199837</v>
      </c>
      <c r="AA167" cm="1">
        <f t="array" ref="AA167">[1]!propssi("S","Q",1,"T",AB167,$Z$1)/1000</f>
        <v>1.9244084056572728</v>
      </c>
      <c r="AB167">
        <v>437</v>
      </c>
      <c r="AC167">
        <f t="shared" si="2"/>
        <v>164</v>
      </c>
    </row>
    <row r="168" spans="23:29" x14ac:dyDescent="0.3">
      <c r="W168" cm="1">
        <f t="array" ref="W168">[1]!propssi("S","Q",0,"T",Y168,$W$1)/1000</f>
        <v>1.6684690487033711</v>
      </c>
      <c r="X168" cm="1">
        <f t="array" ref="X168">[1]!propssi("S","Q",1,"T",Y168,$W$1)/1000</f>
        <v>1.7361672413554856</v>
      </c>
      <c r="Y168">
        <v>438</v>
      </c>
      <c r="Z168" cm="1">
        <f t="array" ref="Z168">[1]!propssi("S","Q",0,"T",AB168,$Z$1)/1000</f>
        <v>1.71737099423242</v>
      </c>
      <c r="AA168" cm="1">
        <f t="array" ref="AA168">[1]!propssi("S","Q",1,"T",AB168,$Z$1)/1000</f>
        <v>1.9248077914393096</v>
      </c>
      <c r="AB168">
        <v>438</v>
      </c>
      <c r="AC168">
        <f t="shared" si="2"/>
        <v>165</v>
      </c>
    </row>
    <row r="169" spans="23:29" x14ac:dyDescent="0.3">
      <c r="W169" cm="1">
        <f t="array" ref="W169">[1]!propssi("S","Q",0,"T",Y169,$W$1)/1000</f>
        <v>1.6813913222963466</v>
      </c>
      <c r="X169" cm="1">
        <f t="array" ref="X169">[1]!propssi("S","Q",1,"T",Y169,$W$1)/1000</f>
        <v>1.7246268756233929</v>
      </c>
      <c r="Y169">
        <v>439</v>
      </c>
      <c r="Z169" cm="1">
        <f t="array" ref="Z169">[1]!propssi("S","Q",0,"T",AB169,$Z$1)/1000</f>
        <v>1.7218608737065795</v>
      </c>
      <c r="AA169" cm="1">
        <f t="array" ref="AA169">[1]!propssi("S","Q",1,"T",AB169,$Z$1)/1000</f>
        <v>1.9251541468140791</v>
      </c>
      <c r="AB169">
        <v>439</v>
      </c>
      <c r="AC169">
        <f t="shared" si="2"/>
        <v>166</v>
      </c>
    </row>
    <row r="170" spans="23:29" x14ac:dyDescent="0.3">
      <c r="Y170">
        <v>440</v>
      </c>
      <c r="Z170" cm="1">
        <f t="array" ref="Z170">[1]!propssi("S","Q",0,"T",AB170,$Z$1)/1000</f>
        <v>1.7263795526598158</v>
      </c>
      <c r="AA170" cm="1">
        <f t="array" ref="AA170">[1]!propssi("S","Q",1,"T",AB170,$Z$1)/1000</f>
        <v>1.9254433245112277</v>
      </c>
      <c r="AB170">
        <v>440</v>
      </c>
      <c r="AC170">
        <f t="shared" si="2"/>
        <v>167</v>
      </c>
    </row>
    <row r="171" spans="23:29" x14ac:dyDescent="0.3">
      <c r="Y171">
        <v>441</v>
      </c>
      <c r="Z171" cm="1">
        <f t="array" ref="Z171">[1]!propssi("S","Q",0,"T",AB171,$Z$1)/1000</f>
        <v>1.730929697455297</v>
      </c>
      <c r="AA171" cm="1">
        <f t="array" ref="AA171">[1]!propssi("S","Q",1,"T",AB171,$Z$1)/1000</f>
        <v>1.925670660103094</v>
      </c>
      <c r="AB171">
        <v>441</v>
      </c>
      <c r="AC171">
        <f t="shared" si="2"/>
        <v>168</v>
      </c>
    </row>
    <row r="172" spans="23:29" x14ac:dyDescent="0.3">
      <c r="Y172">
        <v>442</v>
      </c>
      <c r="Z172" cm="1">
        <f t="array" ref="Z172">[1]!propssi("S","Q",0,"T",AB172,$Z$1)/1000</f>
        <v>1.7355143449715598</v>
      </c>
      <c r="AA172" cm="1">
        <f t="array" ref="AA172">[1]!propssi("S","Q",1,"T",AB172,$Z$1)/1000</f>
        <v>1.9258308742017523</v>
      </c>
      <c r="AB172">
        <v>442</v>
      </c>
      <c r="AC172">
        <f t="shared" si="2"/>
        <v>169</v>
      </c>
    </row>
    <row r="173" spans="23:29" x14ac:dyDescent="0.3">
      <c r="Y173">
        <v>443</v>
      </c>
      <c r="Z173" cm="1">
        <f t="array" ref="Z173">[1]!propssi("S","Q",0,"T",AB173,$Z$1)/1000</f>
        <v>1.7401369796677459</v>
      </c>
      <c r="AA173" cm="1">
        <f t="array" ref="AA173">[1]!propssi("S","Q",1,"T",AB173,$Z$1)/1000</f>
        <v>1.9259179492819125</v>
      </c>
      <c r="AB173">
        <v>443</v>
      </c>
      <c r="AC173">
        <f t="shared" si="2"/>
        <v>170</v>
      </c>
    </row>
    <row r="174" spans="23:29" x14ac:dyDescent="0.3">
      <c r="Y174">
        <v>444</v>
      </c>
      <c r="Z174" cm="1">
        <f t="array" ref="Z174">[1]!propssi("S","Q",0,"T",AB174,$Z$1)/1000</f>
        <v>1.7448016324026718</v>
      </c>
      <c r="AA174" cm="1">
        <f t="array" ref="AA174">[1]!propssi("S","Q",1,"T",AB174,$Z$1)/1000</f>
        <v>1.925924972560723</v>
      </c>
      <c r="AB174">
        <v>444</v>
      </c>
      <c r="AC174">
        <f t="shared" si="2"/>
        <v>171</v>
      </c>
    </row>
    <row r="175" spans="23:29" x14ac:dyDescent="0.3">
      <c r="Y175">
        <v>445</v>
      </c>
      <c r="Z175" cm="1">
        <f t="array" ref="Z175">[1]!propssi("S","Q",0,"T",AB175,$Z$1)/1000</f>
        <v>1.7495130089554747</v>
      </c>
      <c r="AA175" cm="1">
        <f t="array" ref="AA175">[1]!propssi("S","Q",1,"T",AB175,$Z$1)/1000</f>
        <v>1.9258439327259547</v>
      </c>
      <c r="AB175">
        <v>445</v>
      </c>
      <c r="AC175">
        <f t="shared" si="2"/>
        <v>172</v>
      </c>
    </row>
    <row r="176" spans="23:29" x14ac:dyDescent="0.3">
      <c r="Y176">
        <v>446</v>
      </c>
      <c r="Z176" cm="1">
        <f t="array" ref="Z176">[1]!propssi("S","Q",0,"T",AB176,$Z$1)/1000</f>
        <v>1.7542766598487338</v>
      </c>
      <c r="AA176" cm="1">
        <f t="array" ref="AA176">[1]!propssi("S","Q",1,"T",AB176,$Z$1)/1000</f>
        <v>1.9256654527602224</v>
      </c>
      <c r="AB176">
        <v>446</v>
      </c>
      <c r="AC176">
        <f t="shared" si="2"/>
        <v>173</v>
      </c>
    </row>
    <row r="177" spans="25:29" x14ac:dyDescent="0.3">
      <c r="Y177">
        <v>447</v>
      </c>
      <c r="Z177" cm="1">
        <f t="array" ref="Z177">[1]!propssi("S","Q",0,"T",AB177,$Z$1)/1000</f>
        <v>1.7590992088020441</v>
      </c>
      <c r="AA177" cm="1">
        <f t="array" ref="AA177">[1]!propssi("S","Q",1,"T",AB177,$Z$1)/1000</f>
        <v>1.9253784324516126</v>
      </c>
      <c r="AB177">
        <v>447</v>
      </c>
      <c r="AC177">
        <f t="shared" si="2"/>
        <v>174</v>
      </c>
    </row>
    <row r="178" spans="25:29" x14ac:dyDescent="0.3">
      <c r="Y178">
        <v>448</v>
      </c>
      <c r="Z178" cm="1">
        <f t="array" ref="Z178">[1]!propssi("S","Q",0,"T",AB178,$Z$1)/1000</f>
        <v>1.7639886663841535</v>
      </c>
      <c r="AA178" cm="1">
        <f t="array" ref="AA178">[1]!propssi("S","Q",1,"T",AB178,$Z$1)/1000</f>
        <v>1.9249695602716845</v>
      </c>
      <c r="AB178">
        <v>448</v>
      </c>
      <c r="AC178">
        <f t="shared" si="2"/>
        <v>175</v>
      </c>
    </row>
    <row r="179" spans="25:29" x14ac:dyDescent="0.3">
      <c r="Y179">
        <v>449</v>
      </c>
      <c r="Z179" cm="1">
        <f t="array" ref="Z179">[1]!propssi("S","Q",0,"T",AB179,$Z$1)/1000</f>
        <v>1.7689548708322569</v>
      </c>
      <c r="AA179" cm="1">
        <f t="array" ref="AA179">[1]!propssi("S","Q",1,"T",AB179,$Z$1)/1000</f>
        <v>1.9244226312240638</v>
      </c>
      <c r="AB179">
        <v>449</v>
      </c>
      <c r="AC179">
        <f t="shared" si="2"/>
        <v>176</v>
      </c>
    </row>
    <row r="180" spans="25:29" x14ac:dyDescent="0.3">
      <c r="Y180">
        <v>450</v>
      </c>
      <c r="Z180" cm="1">
        <f t="array" ref="Z180">[1]!propssi("S","Q",0,"T",AB180,$Z$1)/1000</f>
        <v>1.7740101246552462</v>
      </c>
      <c r="AA180" cm="1">
        <f t="array" ref="AA180">[1]!propssi("S","Q",1,"T",AB180,$Z$1)/1000</f>
        <v>1.9237175675262659</v>
      </c>
      <c r="AB180">
        <v>450</v>
      </c>
      <c r="AC180">
        <f t="shared" si="2"/>
        <v>177</v>
      </c>
    </row>
    <row r="181" spans="25:29" x14ac:dyDescent="0.3">
      <c r="Y181">
        <v>451</v>
      </c>
      <c r="Z181" cm="1">
        <f t="array" ref="Z181">[1]!propssi("S","Q",0,"T",AB181,$Z$1)/1000</f>
        <v>1.7791701438017755</v>
      </c>
      <c r="AA181" cm="1">
        <f t="array" ref="AA181">[1]!propssi("S","Q",1,"T",AB181,$Z$1)/1000</f>
        <v>1.9228289675391594</v>
      </c>
      <c r="AB181">
        <v>451</v>
      </c>
      <c r="AC181">
        <f t="shared" si="2"/>
        <v>178</v>
      </c>
    </row>
    <row r="182" spans="25:29" x14ac:dyDescent="0.3">
      <c r="Y182">
        <v>452</v>
      </c>
      <c r="Z182" cm="1">
        <f t="array" ref="Z182">[1]!propssi("S","Q",0,"T",AB182,$Z$1)/1000</f>
        <v>1.784455527815245</v>
      </c>
      <c r="AA182" cm="1">
        <f t="array" ref="AA182">[1]!propssi("S","Q",1,"T",AB182,$Z$1)/1000</f>
        <v>1.9217238731915869</v>
      </c>
      <c r="AB182">
        <v>452</v>
      </c>
      <c r="AC182">
        <f t="shared" si="2"/>
        <v>179</v>
      </c>
    </row>
    <row r="183" spans="25:29" x14ac:dyDescent="0.3">
      <c r="Y183">
        <v>453</v>
      </c>
      <c r="Z183" cm="1">
        <f t="array" ref="Z183">[1]!propssi("S","Q",0,"T",AB183,$Z$1)/1000</f>
        <v>1.7898941448404049</v>
      </c>
      <c r="AA183" cm="1">
        <f t="array" ref="AA183">[1]!propssi("S","Q",1,"T",AB183,$Z$1)/1000</f>
        <v>1.920358174346366</v>
      </c>
      <c r="AB183">
        <v>453</v>
      </c>
      <c r="AC183">
        <f t="shared" si="2"/>
        <v>180</v>
      </c>
    </row>
    <row r="184" spans="25:29" x14ac:dyDescent="0.3">
      <c r="Y184">
        <v>454</v>
      </c>
      <c r="Z184" cm="1">
        <f t="array" ref="Z184">[1]!propssi("S","Q",0,"T",AB184,$Z$1)/1000</f>
        <v>1.7955252299900819</v>
      </c>
      <c r="AA184" cm="1">
        <f t="array" ref="AA184">[1]!propssi("S","Q",1,"T",AB184,$Z$1)/1000</f>
        <v>1.9186704795969356</v>
      </c>
      <c r="AB184">
        <v>454</v>
      </c>
      <c r="AC184">
        <f t="shared" si="2"/>
        <v>181</v>
      </c>
    </row>
    <row r="185" spans="25:29" x14ac:dyDescent="0.3">
      <c r="Y185">
        <v>455</v>
      </c>
      <c r="Z185" cm="1">
        <f t="array" ref="Z185">[1]!propssi("S","Q",0,"T",AB185,$Z$1)/1000</f>
        <v>1.8014069663173107</v>
      </c>
      <c r="AA185" cm="1">
        <f t="array" ref="AA185">[1]!propssi("S","Q",1,"T",AB185,$Z$1)/1000</f>
        <v>1.9165708810984083</v>
      </c>
      <c r="AB185">
        <v>455</v>
      </c>
      <c r="AC185">
        <f t="shared" si="2"/>
        <v>182</v>
      </c>
    </row>
    <row r="186" spans="25:29" x14ac:dyDescent="0.3">
      <c r="Y186">
        <v>456</v>
      </c>
      <c r="Z186" cm="1">
        <f t="array" ref="Z186">[1]!propssi("S","Q",0,"T",AB186,$Z$1)/1000</f>
        <v>1.807631952725014</v>
      </c>
      <c r="AA186" cm="1">
        <f t="array" ref="AA186">[1]!propssi("S","Q",1,"T",AB186,$Z$1)/1000</f>
        <v>1.9139182694506343</v>
      </c>
      <c r="AB186">
        <v>456</v>
      </c>
      <c r="AC186">
        <f t="shared" si="2"/>
        <v>183</v>
      </c>
    </row>
    <row r="187" spans="25:29" x14ac:dyDescent="0.3">
      <c r="Y187">
        <v>457</v>
      </c>
      <c r="Z187" cm="1">
        <f t="array" ref="Z187">[1]!propssi("S","Q",0,"T",AB187,$Z$1)/1000</f>
        <v>1.8143634396472177</v>
      </c>
      <c r="AA187" cm="1">
        <f t="array" ref="AA187">[1]!propssi("S","Q",1,"T",AB187,$Z$1)/1000</f>
        <v>1.9104678488206459</v>
      </c>
      <c r="AB187">
        <v>457</v>
      </c>
      <c r="AC187">
        <f t="shared" si="2"/>
        <v>184</v>
      </c>
    </row>
    <row r="188" spans="25:29" x14ac:dyDescent="0.3">
      <c r="Y188">
        <v>458</v>
      </c>
      <c r="Z188" cm="1">
        <f t="array" ref="Z188">[1]!propssi("S","Q",0,"T",AB188,$Z$1)/1000</f>
        <v>1.8219403617818561</v>
      </c>
      <c r="AA188" cm="1">
        <f t="array" ref="AA188">[1]!propssi("S","Q",1,"T",AB188,$Z$1)/1000</f>
        <v>1.9057213573991385</v>
      </c>
      <c r="AB188">
        <v>458</v>
      </c>
      <c r="AC188">
        <f t="shared" si="2"/>
        <v>185</v>
      </c>
    </row>
    <row r="189" spans="25:29" x14ac:dyDescent="0.3">
      <c r="Y189">
        <v>459</v>
      </c>
      <c r="Z189" cm="1">
        <f t="array" ref="Z189">[1]!propssi("S","Q",0,"T",AB189,$Z$1)/1000</f>
        <v>1.831327767993761</v>
      </c>
      <c r="AA189" cm="1">
        <f t="array" ref="AA189">[1]!propssi("S","Q",1,"T",AB189,$Z$1)/1000</f>
        <v>1.8982984932301501</v>
      </c>
      <c r="AB189">
        <v>459</v>
      </c>
      <c r="AC189">
        <f t="shared" si="2"/>
        <v>186</v>
      </c>
    </row>
    <row r="190" spans="25:29" x14ac:dyDescent="0.3">
      <c r="Y190">
        <v>460</v>
      </c>
      <c r="Z190" cm="1">
        <f t="array" ref="Z190">[1]!propssi("S","Q",0,"T",AB190,$Z$1)/1000</f>
        <v>1.8618234308231401</v>
      </c>
      <c r="AA190" cm="1">
        <f t="array" ref="AA190">[1]!propssi("S","Q",1,"T",AB190,$Z$1)/1000</f>
        <v>1.8618234308231401</v>
      </c>
      <c r="AB190">
        <v>460</v>
      </c>
      <c r="AC190">
        <f t="shared" si="2"/>
        <v>187</v>
      </c>
    </row>
    <row r="191" spans="25:29" x14ac:dyDescent="0.3">
      <c r="Y191">
        <v>461</v>
      </c>
      <c r="Z191" t="e" cm="1">
        <f t="array" ref="Z191">[1]!propssi("S","Q",0,"T",AB191,$Z$1)/1000</f>
        <v>#VALUE!</v>
      </c>
      <c r="AA191" t="e" cm="1">
        <f t="array" ref="AA191">[1]!propssi("S","Q",1,"T",AB191,$Z$1)/1000</f>
        <v>#VALUE!</v>
      </c>
      <c r="AB191">
        <v>461</v>
      </c>
      <c r="AC191">
        <f t="shared" si="2"/>
        <v>188</v>
      </c>
    </row>
    <row r="192" spans="25:29" x14ac:dyDescent="0.3">
      <c r="Y192">
        <v>462</v>
      </c>
      <c r="Z192" t="e" cm="1">
        <f t="array" ref="Z192">[1]!propssi("S","Q",0,"T",AB192,$Z$1)/1000</f>
        <v>#VALUE!</v>
      </c>
      <c r="AA192" t="e" cm="1">
        <f t="array" ref="AA192">[1]!propssi("S","Q",1,"T",AB192,$Z$1)/1000</f>
        <v>#VALUE!</v>
      </c>
      <c r="AB192">
        <v>462</v>
      </c>
      <c r="AC192">
        <f t="shared" si="2"/>
        <v>189</v>
      </c>
    </row>
    <row r="193" spans="25:29" x14ac:dyDescent="0.3">
      <c r="Y193">
        <v>463</v>
      </c>
      <c r="Z193" t="e" cm="1">
        <f t="array" ref="Z193">[1]!propssi("S","Q",0,"T",AB193,$Z$1)/1000</f>
        <v>#VALUE!</v>
      </c>
      <c r="AA193" t="e" cm="1">
        <f t="array" ref="AA193">[1]!propssi("S","Q",1,"T",AB193,$Z$1)/1000</f>
        <v>#VALUE!</v>
      </c>
      <c r="AB193">
        <v>463</v>
      </c>
      <c r="AC193">
        <f t="shared" si="2"/>
        <v>190</v>
      </c>
    </row>
    <row r="194" spans="25:29" x14ac:dyDescent="0.3">
      <c r="Y194">
        <v>464</v>
      </c>
      <c r="Z194" t="e" cm="1">
        <f t="array" ref="Z194">[1]!propssi("S","Q",0,"T",AB194,$Z$1)/1000</f>
        <v>#VALUE!</v>
      </c>
      <c r="AA194" t="e" cm="1">
        <f t="array" ref="AA194">[1]!propssi("S","Q",1,"T",AB194,$Z$1)/1000</f>
        <v>#VALUE!</v>
      </c>
      <c r="AB194">
        <v>464</v>
      </c>
      <c r="AC194">
        <f t="shared" si="2"/>
        <v>191</v>
      </c>
    </row>
    <row r="195" spans="25:29" x14ac:dyDescent="0.3">
      <c r="Y195">
        <v>465</v>
      </c>
      <c r="Z195" t="e" cm="1">
        <f t="array" ref="Z195">[1]!propssi("S","Q",0,"T",AB195,$Z$1)/1000</f>
        <v>#VALUE!</v>
      </c>
      <c r="AA195" t="e" cm="1">
        <f t="array" ref="AA195">[1]!propssi("S","Q",1,"T",AB195,$Z$1)/1000</f>
        <v>#VALUE!</v>
      </c>
      <c r="AB195">
        <v>465</v>
      </c>
      <c r="AC195">
        <f t="shared" si="2"/>
        <v>192</v>
      </c>
    </row>
    <row r="196" spans="25:29" x14ac:dyDescent="0.3">
      <c r="Y196">
        <v>466</v>
      </c>
      <c r="Z196" t="e" cm="1">
        <f t="array" ref="Z196">[1]!propssi("S","Q",0,"T",AB196,$Z$1)/1000</f>
        <v>#VALUE!</v>
      </c>
      <c r="AA196" t="e" cm="1">
        <f t="array" ref="AA196">[1]!propssi("S","Q",1,"T",AB196,$Z$1)/1000</f>
        <v>#VALUE!</v>
      </c>
      <c r="AB196">
        <v>466</v>
      </c>
      <c r="AC196">
        <f t="shared" ref="AC196:AC230" si="3">AB196-273</f>
        <v>193</v>
      </c>
    </row>
    <row r="197" spans="25:29" x14ac:dyDescent="0.3">
      <c r="Y197">
        <v>467</v>
      </c>
      <c r="Z197" t="e" cm="1">
        <f t="array" ref="Z197">[1]!propssi("S","Q",0,"T",AB197,$Z$1)/1000</f>
        <v>#VALUE!</v>
      </c>
      <c r="AA197" t="e" cm="1">
        <f t="array" ref="AA197">[1]!propssi("S","Q",1,"T",AB197,$Z$1)/1000</f>
        <v>#VALUE!</v>
      </c>
      <c r="AB197">
        <v>467</v>
      </c>
      <c r="AC197">
        <f t="shared" si="3"/>
        <v>194</v>
      </c>
    </row>
    <row r="198" spans="25:29" x14ac:dyDescent="0.3">
      <c r="Y198">
        <v>468</v>
      </c>
      <c r="Z198" t="e" cm="1">
        <f t="array" ref="Z198">[1]!propssi("S","Q",0,"T",AB198,$Z$1)/1000</f>
        <v>#VALUE!</v>
      </c>
      <c r="AA198" t="e" cm="1">
        <f t="array" ref="AA198">[1]!propssi("S","Q",1,"T",AB198,$Z$1)/1000</f>
        <v>#VALUE!</v>
      </c>
      <c r="AB198">
        <v>468</v>
      </c>
      <c r="AC198">
        <f t="shared" si="3"/>
        <v>195</v>
      </c>
    </row>
    <row r="199" spans="25:29" x14ac:dyDescent="0.3">
      <c r="Y199">
        <v>469</v>
      </c>
      <c r="Z199" t="e" cm="1">
        <f t="array" ref="Z199">[1]!propssi("S","Q",0,"T",AB199,$Z$1)/1000</f>
        <v>#VALUE!</v>
      </c>
      <c r="AA199" t="e" cm="1">
        <f t="array" ref="AA199">[1]!propssi("S","Q",1,"T",AB199,$Z$1)/1000</f>
        <v>#VALUE!</v>
      </c>
      <c r="AB199">
        <v>469</v>
      </c>
      <c r="AC199">
        <f t="shared" si="3"/>
        <v>196</v>
      </c>
    </row>
    <row r="200" spans="25:29" x14ac:dyDescent="0.3">
      <c r="Y200">
        <v>470</v>
      </c>
      <c r="Z200" t="e" cm="1">
        <f t="array" ref="Z200">[1]!propssi("S","Q",0,"T",AB200,$Z$1)/1000</f>
        <v>#VALUE!</v>
      </c>
      <c r="AA200" t="e" cm="1">
        <f t="array" ref="AA200">[1]!propssi("S","Q",1,"T",AB200,$Z$1)/1000</f>
        <v>#VALUE!</v>
      </c>
      <c r="AB200">
        <v>470</v>
      </c>
      <c r="AC200">
        <f t="shared" si="3"/>
        <v>197</v>
      </c>
    </row>
    <row r="201" spans="25:29" x14ac:dyDescent="0.3">
      <c r="Y201">
        <v>471</v>
      </c>
      <c r="Z201" t="e" cm="1">
        <f t="array" ref="Z201">[1]!propssi("S","Q",0,"T",AB201,$Z$1)/1000</f>
        <v>#VALUE!</v>
      </c>
      <c r="AA201" t="e" cm="1">
        <f t="array" ref="AA201">[1]!propssi("S","Q",1,"T",AB201,$Z$1)/1000</f>
        <v>#VALUE!</v>
      </c>
      <c r="AB201">
        <v>471</v>
      </c>
      <c r="AC201">
        <f t="shared" si="3"/>
        <v>198</v>
      </c>
    </row>
    <row r="202" spans="25:29" x14ac:dyDescent="0.3">
      <c r="Y202">
        <v>472</v>
      </c>
      <c r="Z202" t="e" cm="1">
        <f t="array" ref="Z202">[1]!propssi("S","Q",0,"T",AB202,$Z$1)/1000</f>
        <v>#VALUE!</v>
      </c>
      <c r="AA202" t="e" cm="1">
        <f t="array" ref="AA202">[1]!propssi("S","Q",1,"T",AB202,$Z$1)/1000</f>
        <v>#VALUE!</v>
      </c>
      <c r="AB202">
        <v>472</v>
      </c>
      <c r="AC202">
        <f t="shared" si="3"/>
        <v>199</v>
      </c>
    </row>
    <row r="203" spans="25:29" x14ac:dyDescent="0.3">
      <c r="Y203">
        <v>473</v>
      </c>
      <c r="Z203" t="e" cm="1">
        <f t="array" ref="Z203">[1]!propssi("S","Q",0,"T",AB203,$Z$1)/1000</f>
        <v>#VALUE!</v>
      </c>
      <c r="AA203" t="e" cm="1">
        <f t="array" ref="AA203">[1]!propssi("S","Q",1,"T",AB203,$Z$1)/1000</f>
        <v>#VALUE!</v>
      </c>
      <c r="AB203">
        <v>473</v>
      </c>
      <c r="AC203">
        <f t="shared" si="3"/>
        <v>200</v>
      </c>
    </row>
    <row r="204" spans="25:29" x14ac:dyDescent="0.3">
      <c r="Y204">
        <v>474</v>
      </c>
      <c r="Z204" t="e" cm="1">
        <f t="array" ref="Z204">[1]!propssi("S","Q",0,"T",AB204,$Z$1)/1000</f>
        <v>#VALUE!</v>
      </c>
      <c r="AA204" t="e" cm="1">
        <f t="array" ref="AA204">[1]!propssi("S","Q",1,"T",AB204,$Z$1)/1000</f>
        <v>#VALUE!</v>
      </c>
      <c r="AB204">
        <v>474</v>
      </c>
      <c r="AC204">
        <f t="shared" si="3"/>
        <v>201</v>
      </c>
    </row>
    <row r="205" spans="25:29" x14ac:dyDescent="0.3">
      <c r="Y205">
        <v>475</v>
      </c>
      <c r="Z205" t="e" cm="1">
        <f t="array" ref="Z205">[1]!propssi("S","Q",0,"T",AB205,$Z$1)/1000</f>
        <v>#VALUE!</v>
      </c>
      <c r="AA205" t="e" cm="1">
        <f t="array" ref="AA205">[1]!propssi("S","Q",1,"T",AB205,$Z$1)/1000</f>
        <v>#VALUE!</v>
      </c>
      <c r="AB205">
        <v>475</v>
      </c>
      <c r="AC205">
        <f t="shared" si="3"/>
        <v>202</v>
      </c>
    </row>
    <row r="206" spans="25:29" x14ac:dyDescent="0.3">
      <c r="Y206">
        <v>476</v>
      </c>
      <c r="Z206" t="e" cm="1">
        <f t="array" ref="Z206">[1]!propssi("S","Q",0,"T",AB206,$Z$1)/1000</f>
        <v>#VALUE!</v>
      </c>
      <c r="AA206" t="e" cm="1">
        <f t="array" ref="AA206">[1]!propssi("S","Q",1,"T",AB206,$Z$1)/1000</f>
        <v>#VALUE!</v>
      </c>
      <c r="AB206">
        <v>476</v>
      </c>
      <c r="AC206">
        <f t="shared" si="3"/>
        <v>203</v>
      </c>
    </row>
    <row r="207" spans="25:29" x14ac:dyDescent="0.3">
      <c r="Y207">
        <v>477</v>
      </c>
      <c r="Z207" t="e" cm="1">
        <f t="array" ref="Z207">[1]!propssi("S","Q",0,"T",AB207,$Z$1)/1000</f>
        <v>#VALUE!</v>
      </c>
      <c r="AA207" t="e" cm="1">
        <f t="array" ref="AA207">[1]!propssi("S","Q",1,"T",AB207,$Z$1)/1000</f>
        <v>#VALUE!</v>
      </c>
      <c r="AB207">
        <v>477</v>
      </c>
      <c r="AC207">
        <f t="shared" si="3"/>
        <v>204</v>
      </c>
    </row>
    <row r="208" spans="25:29" x14ac:dyDescent="0.3">
      <c r="Y208">
        <v>478</v>
      </c>
      <c r="Z208" t="e" cm="1">
        <f t="array" ref="Z208">[1]!propssi("S","Q",0,"T",AB208,$Z$1)/1000</f>
        <v>#VALUE!</v>
      </c>
      <c r="AA208" t="e" cm="1">
        <f t="array" ref="AA208">[1]!propssi("S","Q",1,"T",AB208,$Z$1)/1000</f>
        <v>#VALUE!</v>
      </c>
      <c r="AB208">
        <v>478</v>
      </c>
      <c r="AC208">
        <f t="shared" si="3"/>
        <v>205</v>
      </c>
    </row>
    <row r="209" spans="25:29" x14ac:dyDescent="0.3">
      <c r="Y209">
        <v>479</v>
      </c>
      <c r="Z209" t="e" cm="1">
        <f t="array" ref="Z209">[1]!propssi("S","Q",0,"T",AB209,$Z$1)/1000</f>
        <v>#VALUE!</v>
      </c>
      <c r="AA209" t="e" cm="1">
        <f t="array" ref="AA209">[1]!propssi("S","Q",1,"T",AB209,$Z$1)/1000</f>
        <v>#VALUE!</v>
      </c>
      <c r="AB209">
        <v>479</v>
      </c>
      <c r="AC209">
        <f t="shared" si="3"/>
        <v>206</v>
      </c>
    </row>
    <row r="210" spans="25:29" x14ac:dyDescent="0.3">
      <c r="Y210">
        <v>480</v>
      </c>
      <c r="Z210" t="e" cm="1">
        <f t="array" ref="Z210">[1]!propssi("S","Q",0,"T",AB210,$Z$1)/1000</f>
        <v>#VALUE!</v>
      </c>
      <c r="AA210" t="e" cm="1">
        <f t="array" ref="AA210">[1]!propssi("S","Q",1,"T",AB210,$Z$1)/1000</f>
        <v>#VALUE!</v>
      </c>
      <c r="AB210">
        <v>480</v>
      </c>
      <c r="AC210">
        <f t="shared" si="3"/>
        <v>207</v>
      </c>
    </row>
    <row r="211" spans="25:29" x14ac:dyDescent="0.3">
      <c r="Y211">
        <v>481</v>
      </c>
      <c r="Z211" t="e" cm="1">
        <f t="array" ref="Z211">[1]!propssi("S","Q",0,"T",AB211,$Z$1)/1000</f>
        <v>#VALUE!</v>
      </c>
      <c r="AA211" t="e" cm="1">
        <f t="array" ref="AA211">[1]!propssi("S","Q",1,"T",AB211,$Z$1)/1000</f>
        <v>#VALUE!</v>
      </c>
      <c r="AB211">
        <v>481</v>
      </c>
      <c r="AC211">
        <f t="shared" si="3"/>
        <v>208</v>
      </c>
    </row>
    <row r="212" spans="25:29" x14ac:dyDescent="0.3">
      <c r="Y212">
        <v>482</v>
      </c>
      <c r="Z212" t="e" cm="1">
        <f t="array" ref="Z212">[1]!propssi("S","Q",0,"T",AB212,$Z$1)/1000</f>
        <v>#VALUE!</v>
      </c>
      <c r="AA212" t="e" cm="1">
        <f t="array" ref="AA212">[1]!propssi("S","Q",1,"T",AB212,$Z$1)/1000</f>
        <v>#VALUE!</v>
      </c>
      <c r="AB212">
        <v>482</v>
      </c>
      <c r="AC212">
        <f t="shared" si="3"/>
        <v>209</v>
      </c>
    </row>
    <row r="213" spans="25:29" x14ac:dyDescent="0.3">
      <c r="Y213">
        <v>483</v>
      </c>
      <c r="Z213" t="e" cm="1">
        <f t="array" ref="Z213">[1]!propssi("S","Q",0,"T",AB213,$Z$1)/1000</f>
        <v>#VALUE!</v>
      </c>
      <c r="AA213" t="e" cm="1">
        <f t="array" ref="AA213">[1]!propssi("S","Q",1,"T",AB213,$Z$1)/1000</f>
        <v>#VALUE!</v>
      </c>
      <c r="AB213">
        <v>483</v>
      </c>
      <c r="AC213">
        <f t="shared" si="3"/>
        <v>210</v>
      </c>
    </row>
    <row r="214" spans="25:29" x14ac:dyDescent="0.3">
      <c r="Y214">
        <v>484</v>
      </c>
      <c r="Z214" t="e" cm="1">
        <f t="array" ref="Z214">[1]!propssi("S","Q",0,"T",AB214,$Z$1)/1000</f>
        <v>#VALUE!</v>
      </c>
      <c r="AA214" t="e" cm="1">
        <f t="array" ref="AA214">[1]!propssi("S","Q",1,"T",AB214,$Z$1)/1000</f>
        <v>#VALUE!</v>
      </c>
      <c r="AB214">
        <v>484</v>
      </c>
      <c r="AC214">
        <f t="shared" si="3"/>
        <v>211</v>
      </c>
    </row>
    <row r="215" spans="25:29" x14ac:dyDescent="0.3">
      <c r="Y215">
        <v>485</v>
      </c>
      <c r="Z215" t="e" cm="1">
        <f t="array" ref="Z215">[1]!propssi("S","Q",0,"T",AB215,$Z$1)/1000</f>
        <v>#VALUE!</v>
      </c>
      <c r="AA215" t="e" cm="1">
        <f t="array" ref="AA215">[1]!propssi("S","Q",1,"T",AB215,$Z$1)/1000</f>
        <v>#VALUE!</v>
      </c>
      <c r="AB215">
        <v>485</v>
      </c>
      <c r="AC215">
        <f t="shared" si="3"/>
        <v>212</v>
      </c>
    </row>
    <row r="216" spans="25:29" x14ac:dyDescent="0.3">
      <c r="Y216">
        <v>486</v>
      </c>
      <c r="Z216" t="e" cm="1">
        <f t="array" ref="Z216">[1]!propssi("S","Q",0,"T",AB216,$Z$1)/1000</f>
        <v>#VALUE!</v>
      </c>
      <c r="AA216" t="e" cm="1">
        <f t="array" ref="AA216">[1]!propssi("S","Q",1,"T",AB216,$Z$1)/1000</f>
        <v>#VALUE!</v>
      </c>
      <c r="AB216">
        <v>486</v>
      </c>
      <c r="AC216">
        <f t="shared" si="3"/>
        <v>213</v>
      </c>
    </row>
    <row r="217" spans="25:29" x14ac:dyDescent="0.3">
      <c r="Y217">
        <v>487</v>
      </c>
      <c r="Z217" t="e" cm="1">
        <f t="array" ref="Z217">[1]!propssi("S","Q",0,"T",AB217,$Z$1)/1000</f>
        <v>#VALUE!</v>
      </c>
      <c r="AA217" t="e" cm="1">
        <f t="array" ref="AA217">[1]!propssi("S","Q",1,"T",AB217,$Z$1)/1000</f>
        <v>#VALUE!</v>
      </c>
      <c r="AB217">
        <v>487</v>
      </c>
      <c r="AC217">
        <f t="shared" si="3"/>
        <v>214</v>
      </c>
    </row>
    <row r="218" spans="25:29" x14ac:dyDescent="0.3">
      <c r="Y218">
        <v>488</v>
      </c>
      <c r="Z218" t="e" cm="1">
        <f t="array" ref="Z218">[1]!propssi("S","Q",0,"T",AB218,$Z$1)/1000</f>
        <v>#VALUE!</v>
      </c>
      <c r="AA218" t="e" cm="1">
        <f t="array" ref="AA218">[1]!propssi("S","Q",1,"T",AB218,$Z$1)/1000</f>
        <v>#VALUE!</v>
      </c>
      <c r="AB218">
        <v>488</v>
      </c>
      <c r="AC218">
        <f t="shared" si="3"/>
        <v>215</v>
      </c>
    </row>
    <row r="219" spans="25:29" x14ac:dyDescent="0.3">
      <c r="Y219">
        <v>489</v>
      </c>
      <c r="Z219" t="e" cm="1">
        <f t="array" ref="Z219">[1]!propssi("S","Q",0,"T",AB219,$Z$1)/1000</f>
        <v>#VALUE!</v>
      </c>
      <c r="AA219" t="e" cm="1">
        <f t="array" ref="AA219">[1]!propssi("S","Q",1,"T",AB219,$Z$1)/1000</f>
        <v>#VALUE!</v>
      </c>
      <c r="AB219">
        <v>489</v>
      </c>
      <c r="AC219">
        <f t="shared" si="3"/>
        <v>216</v>
      </c>
    </row>
    <row r="220" spans="25:29" x14ac:dyDescent="0.3">
      <c r="Y220">
        <v>490</v>
      </c>
      <c r="Z220" t="e" cm="1">
        <f t="array" ref="Z220">[1]!propssi("S","Q",0,"T",AB220,$Z$1)/1000</f>
        <v>#VALUE!</v>
      </c>
      <c r="AA220" t="e" cm="1">
        <f t="array" ref="AA220">[1]!propssi("S","Q",1,"T",AB220,$Z$1)/1000</f>
        <v>#VALUE!</v>
      </c>
      <c r="AB220">
        <v>490</v>
      </c>
      <c r="AC220">
        <f t="shared" si="3"/>
        <v>217</v>
      </c>
    </row>
    <row r="221" spans="25:29" x14ac:dyDescent="0.3">
      <c r="Y221">
        <v>491</v>
      </c>
      <c r="Z221" t="e" cm="1">
        <f t="array" ref="Z221">[1]!propssi("S","Q",0,"T",AB221,$Z$1)/1000</f>
        <v>#VALUE!</v>
      </c>
      <c r="AA221" t="e" cm="1">
        <f t="array" ref="AA221">[1]!propssi("S","Q",1,"T",AB221,$Z$1)/1000</f>
        <v>#VALUE!</v>
      </c>
      <c r="AB221">
        <v>491</v>
      </c>
      <c r="AC221">
        <f t="shared" si="3"/>
        <v>218</v>
      </c>
    </row>
    <row r="222" spans="25:29" x14ac:dyDescent="0.3">
      <c r="Y222">
        <v>492</v>
      </c>
      <c r="Z222" t="e" cm="1">
        <f t="array" ref="Z222">[1]!propssi("S","Q",0,"T",AB222,$Z$1)/1000</f>
        <v>#VALUE!</v>
      </c>
      <c r="AA222" t="e" cm="1">
        <f t="array" ref="AA222">[1]!propssi("S","Q",1,"T",AB222,$Z$1)/1000</f>
        <v>#VALUE!</v>
      </c>
      <c r="AB222">
        <v>492</v>
      </c>
      <c r="AC222">
        <f t="shared" si="3"/>
        <v>219</v>
      </c>
    </row>
    <row r="223" spans="25:29" x14ac:dyDescent="0.3">
      <c r="Y223">
        <v>493</v>
      </c>
      <c r="Z223" t="e" cm="1">
        <f t="array" ref="Z223">[1]!propssi("S","Q",0,"T",AB223,$Z$1)/1000</f>
        <v>#VALUE!</v>
      </c>
      <c r="AA223" t="e" cm="1">
        <f t="array" ref="AA223">[1]!propssi("S","Q",1,"T",AB223,$Z$1)/1000</f>
        <v>#VALUE!</v>
      </c>
      <c r="AB223">
        <v>493</v>
      </c>
      <c r="AC223">
        <f t="shared" si="3"/>
        <v>220</v>
      </c>
    </row>
    <row r="224" spans="25:29" x14ac:dyDescent="0.3">
      <c r="Y224">
        <v>494</v>
      </c>
      <c r="Z224" t="e" cm="1">
        <f t="array" ref="Z224">[1]!propssi("S","Q",0,"T",AB224,$Z$1)/1000</f>
        <v>#VALUE!</v>
      </c>
      <c r="AA224" t="e" cm="1">
        <f t="array" ref="AA224">[1]!propssi("S","Q",1,"T",AB224,$Z$1)/1000</f>
        <v>#VALUE!</v>
      </c>
      <c r="AB224">
        <v>494</v>
      </c>
      <c r="AC224">
        <f t="shared" si="3"/>
        <v>221</v>
      </c>
    </row>
    <row r="225" spans="25:29" x14ac:dyDescent="0.3">
      <c r="Y225">
        <v>495</v>
      </c>
      <c r="Z225" t="e" cm="1">
        <f t="array" ref="Z225">[1]!propssi("S","Q",0,"T",AB225,$Z$1)/1000</f>
        <v>#VALUE!</v>
      </c>
      <c r="AA225" t="e" cm="1">
        <f t="array" ref="AA225">[1]!propssi("S","Q",1,"T",AB225,$Z$1)/1000</f>
        <v>#VALUE!</v>
      </c>
      <c r="AB225">
        <v>495</v>
      </c>
      <c r="AC225">
        <f t="shared" si="3"/>
        <v>222</v>
      </c>
    </row>
    <row r="226" spans="25:29" x14ac:dyDescent="0.3">
      <c r="Y226">
        <v>496</v>
      </c>
      <c r="Z226" t="e" cm="1">
        <f t="array" ref="Z226">[1]!propssi("S","Q",0,"T",AB226,$Z$1)/1000</f>
        <v>#VALUE!</v>
      </c>
      <c r="AA226" t="e" cm="1">
        <f t="array" ref="AA226">[1]!propssi("S","Q",1,"T",AB226,$Z$1)/1000</f>
        <v>#VALUE!</v>
      </c>
      <c r="AB226">
        <v>496</v>
      </c>
      <c r="AC226">
        <f t="shared" si="3"/>
        <v>223</v>
      </c>
    </row>
    <row r="227" spans="25:29" x14ac:dyDescent="0.3">
      <c r="Y227">
        <v>497</v>
      </c>
      <c r="Z227" t="e" cm="1">
        <f t="array" ref="Z227">[1]!propssi("S","Q",0,"T",AB227,$Z$1)/1000</f>
        <v>#VALUE!</v>
      </c>
      <c r="AA227" t="e" cm="1">
        <f t="array" ref="AA227">[1]!propssi("S","Q",1,"T",AB227,$Z$1)/1000</f>
        <v>#VALUE!</v>
      </c>
      <c r="AB227">
        <v>497</v>
      </c>
      <c r="AC227">
        <f t="shared" si="3"/>
        <v>224</v>
      </c>
    </row>
    <row r="228" spans="25:29" x14ac:dyDescent="0.3">
      <c r="Y228">
        <v>498</v>
      </c>
      <c r="Z228" t="e" cm="1">
        <f t="array" ref="Z228">[1]!propssi("S","Q",0,"T",AB228,$Z$1)/1000</f>
        <v>#VALUE!</v>
      </c>
      <c r="AA228" t="e" cm="1">
        <f t="array" ref="AA228">[1]!propssi("S","Q",1,"T",AB228,$Z$1)/1000</f>
        <v>#VALUE!</v>
      </c>
      <c r="AB228">
        <v>498</v>
      </c>
      <c r="AC228">
        <f t="shared" si="3"/>
        <v>225</v>
      </c>
    </row>
    <row r="229" spans="25:29" x14ac:dyDescent="0.3">
      <c r="Y229">
        <v>499</v>
      </c>
      <c r="Z229" t="e" cm="1">
        <f t="array" ref="Z229">[1]!propssi("S","Q",0,"T",AB229,$Z$1)/1000</f>
        <v>#VALUE!</v>
      </c>
      <c r="AA229" t="e" cm="1">
        <f t="array" ref="AA229">[1]!propssi("S","Q",1,"T",AB229,$Z$1)/1000</f>
        <v>#VALUE!</v>
      </c>
      <c r="AB229">
        <v>499</v>
      </c>
      <c r="AC229">
        <f t="shared" si="3"/>
        <v>226</v>
      </c>
    </row>
    <row r="230" spans="25:29" x14ac:dyDescent="0.3">
      <c r="Y230">
        <v>500</v>
      </c>
      <c r="Z230" t="e" cm="1">
        <f t="array" ref="Z230">[1]!propssi("S","Q",0,"T",AB230,$Z$1)/1000</f>
        <v>#VALUE!</v>
      </c>
      <c r="AA230" t="e" cm="1">
        <f t="array" ref="AA230">[1]!propssi("S","Q",1,"T",AB230,$Z$1)/1000</f>
        <v>#VALUE!</v>
      </c>
      <c r="AB230">
        <v>500</v>
      </c>
      <c r="AC230">
        <f t="shared" si="3"/>
        <v>227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53BD5-E9F8-471F-82F7-84048620A3C4}">
  <dimension ref="A1"/>
  <sheetViews>
    <sheetView workbookViewId="0">
      <selection activeCell="K18" sqref="K18"/>
    </sheetView>
  </sheetViews>
  <sheetFormatPr defaultRowHeight="14.4" x14ac:dyDescent="0.3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BASIC</vt:lpstr>
      <vt:lpstr>IHX</vt:lpstr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 Mixa</dc:creator>
  <cp:lastModifiedBy>Petr Mixa</cp:lastModifiedBy>
  <dcterms:created xsi:type="dcterms:W3CDTF">2015-06-05T18:19:34Z</dcterms:created>
  <dcterms:modified xsi:type="dcterms:W3CDTF">2026-04-13T18:06:30Z</dcterms:modified>
</cp:coreProperties>
</file>